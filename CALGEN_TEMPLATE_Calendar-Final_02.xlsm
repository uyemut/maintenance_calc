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75" windowWidth="17055" windowHeight="10830"/>
  </bookViews>
  <sheets>
    <sheet name="Data" sheetId="2" r:id="rId1"/>
    <sheet name="Month" sheetId="3" r:id="rId2"/>
    <sheet name="NewCalendar" sheetId="5" r:id="rId3"/>
  </sheets>
  <functionGroups builtInGroupCount="17"/>
  <definedNames>
    <definedName name="Calendar">#REF!</definedName>
    <definedName name="_xlnm.Print_Area" localSheetId="1">Month!$A$1:$G$53</definedName>
    <definedName name="_xlnm.Print_Area" localSheetId="2">NewCalendar!$A$1:$G$54</definedName>
  </definedNames>
  <calcPr calcId="145621"/>
</workbook>
</file>

<file path=xl/calcChain.xml><?xml version="1.0" encoding="utf-8"?>
<calcChain xmlns="http://schemas.openxmlformats.org/spreadsheetml/2006/main">
  <c r="G54" i="5" l="1"/>
  <c r="B4" i="5"/>
  <c r="C4" i="5"/>
  <c r="D4" i="5"/>
  <c r="E4" i="5"/>
  <c r="F4" i="5"/>
  <c r="G4" i="5"/>
  <c r="A14" i="5"/>
  <c r="B14" i="5"/>
  <c r="C14" i="5"/>
  <c r="D14" i="5"/>
  <c r="E14" i="5"/>
  <c r="F14" i="5"/>
  <c r="G14" i="5"/>
  <c r="A24" i="5"/>
  <c r="B24" i="5"/>
  <c r="C24" i="5"/>
  <c r="D24" i="5"/>
  <c r="E24" i="5"/>
  <c r="F24" i="5"/>
  <c r="G24" i="5"/>
  <c r="A35" i="5"/>
  <c r="B35" i="5"/>
  <c r="C35" i="5"/>
  <c r="D35" i="5"/>
  <c r="E35" i="5"/>
  <c r="F35" i="5"/>
  <c r="G35" i="5"/>
  <c r="A45" i="5"/>
  <c r="B45" i="5"/>
  <c r="C45" i="5"/>
  <c r="D45" i="5"/>
  <c r="E45" i="5"/>
  <c r="F45" i="5"/>
  <c r="G45" i="5"/>
  <c r="C44" i="3"/>
  <c r="D44" i="3"/>
  <c r="E44" i="3"/>
  <c r="F44" i="3"/>
  <c r="G44" i="3"/>
  <c r="B44" i="3"/>
  <c r="B34" i="3"/>
  <c r="C34" i="3"/>
  <c r="D34" i="3"/>
  <c r="E34" i="3"/>
  <c r="F34" i="3"/>
  <c r="G34" i="3"/>
  <c r="A44" i="3"/>
  <c r="C24" i="3"/>
  <c r="D24" i="3"/>
  <c r="E24" i="3"/>
  <c r="F24" i="3"/>
  <c r="G24" i="3"/>
  <c r="A34" i="3"/>
  <c r="B24" i="3"/>
  <c r="C14" i="3"/>
  <c r="D14" i="3"/>
  <c r="E14" i="3"/>
  <c r="F14" i="3"/>
  <c r="G14" i="3"/>
  <c r="A24" i="3"/>
  <c r="B14" i="3"/>
  <c r="A14" i="3"/>
  <c r="C4" i="3"/>
  <c r="D4" i="3"/>
  <c r="E4" i="3"/>
  <c r="F4" i="3"/>
  <c r="G4" i="3"/>
  <c r="B4" i="3"/>
  <c r="K2" i="2"/>
  <c r="J2" i="2"/>
  <c r="B2" i="2"/>
  <c r="E12" i="3"/>
  <c r="C10" i="3"/>
  <c r="A12" i="3"/>
  <c r="A10" i="3"/>
  <c r="E11" i="3"/>
  <c r="G42" i="3"/>
  <c r="F42" i="3"/>
  <c r="E42" i="3"/>
  <c r="D42" i="3"/>
  <c r="C42" i="3"/>
  <c r="B42" i="3"/>
  <c r="A42" i="3"/>
  <c r="G41" i="3"/>
  <c r="F41" i="3"/>
  <c r="E41" i="3"/>
  <c r="D41" i="3"/>
  <c r="C41" i="3"/>
  <c r="B41" i="3"/>
  <c r="A41" i="3"/>
  <c r="G40" i="3"/>
  <c r="F40" i="3"/>
  <c r="E40" i="3"/>
  <c r="D40" i="3"/>
  <c r="C40" i="3"/>
  <c r="B40" i="3"/>
  <c r="A40" i="3"/>
  <c r="G39" i="3"/>
  <c r="B39" i="3"/>
  <c r="A39" i="3"/>
  <c r="G38" i="3"/>
  <c r="B38" i="3"/>
  <c r="A38" i="3"/>
  <c r="B37" i="3"/>
  <c r="A37" i="3"/>
  <c r="B36" i="3"/>
  <c r="G32" i="3"/>
  <c r="F32" i="3"/>
  <c r="E32" i="3"/>
  <c r="D32" i="3"/>
  <c r="C32" i="3"/>
  <c r="B32" i="3"/>
  <c r="A32" i="3"/>
  <c r="G31" i="3"/>
  <c r="F31" i="3"/>
  <c r="E31" i="3"/>
  <c r="D31" i="3"/>
  <c r="C31" i="3"/>
  <c r="B31" i="3"/>
  <c r="A31" i="3"/>
  <c r="G30" i="3"/>
  <c r="F30" i="3"/>
  <c r="E30" i="3"/>
  <c r="D30" i="3"/>
  <c r="C30" i="3"/>
  <c r="B30" i="3"/>
  <c r="A30" i="3"/>
  <c r="G29" i="3"/>
  <c r="F29" i="3"/>
  <c r="E29" i="3"/>
  <c r="D29" i="3"/>
  <c r="C29" i="3"/>
  <c r="B29" i="3"/>
  <c r="A29" i="3"/>
  <c r="D28" i="3"/>
  <c r="C28" i="3"/>
  <c r="B28" i="3"/>
  <c r="A28" i="3"/>
  <c r="D27" i="3"/>
  <c r="B27" i="3"/>
  <c r="B26" i="3"/>
  <c r="G22" i="3"/>
  <c r="F22" i="3"/>
  <c r="E22" i="3"/>
  <c r="D22" i="3"/>
  <c r="C22" i="3"/>
  <c r="B22" i="3"/>
  <c r="A22" i="3"/>
  <c r="G21" i="3"/>
  <c r="F21" i="3"/>
  <c r="E21" i="3"/>
  <c r="D21" i="3"/>
  <c r="B21" i="3"/>
  <c r="A21" i="3"/>
  <c r="G20" i="3"/>
  <c r="F20" i="3"/>
  <c r="E20" i="3"/>
  <c r="B20" i="3"/>
  <c r="A20" i="3"/>
  <c r="G19" i="3"/>
  <c r="E19" i="3"/>
  <c r="B19" i="3"/>
  <c r="A19" i="3"/>
  <c r="B18" i="3"/>
  <c r="G12" i="3"/>
  <c r="D12" i="3"/>
  <c r="C12" i="3"/>
  <c r="B12" i="3"/>
  <c r="G11" i="3"/>
  <c r="D11" i="3"/>
  <c r="C11" i="3"/>
  <c r="B11" i="3"/>
  <c r="A11" i="3"/>
  <c r="G10" i="3"/>
  <c r="E10" i="3"/>
  <c r="D10" i="3"/>
  <c r="B10" i="3"/>
  <c r="G9" i="3"/>
  <c r="E9" i="3"/>
  <c r="D9" i="3"/>
  <c r="B9" i="3"/>
  <c r="A9" i="3"/>
  <c r="E8" i="3"/>
  <c r="B8" i="3"/>
  <c r="A8" i="3"/>
  <c r="E7" i="3"/>
  <c r="B7" i="3"/>
  <c r="G52" i="3"/>
  <c r="F52" i="3"/>
  <c r="E52" i="3"/>
  <c r="D52" i="3"/>
  <c r="C52" i="3"/>
  <c r="B52" i="3"/>
  <c r="A52" i="3"/>
  <c r="G51" i="3"/>
  <c r="F51" i="3"/>
  <c r="E51" i="3"/>
  <c r="D51" i="3"/>
  <c r="C51" i="3"/>
  <c r="B51" i="3"/>
  <c r="A51" i="3"/>
  <c r="G50" i="3"/>
  <c r="F50" i="3"/>
  <c r="E50" i="3"/>
  <c r="D50" i="3"/>
  <c r="C50" i="3"/>
  <c r="B50" i="3"/>
  <c r="A50" i="3"/>
  <c r="G49" i="3"/>
  <c r="F49" i="3"/>
  <c r="E49" i="3"/>
  <c r="D49" i="3"/>
  <c r="C49" i="3"/>
  <c r="B49" i="3"/>
  <c r="A49" i="3"/>
  <c r="G48" i="3"/>
  <c r="F48" i="3"/>
  <c r="E48" i="3"/>
  <c r="D48" i="3"/>
  <c r="C48" i="3"/>
  <c r="B48" i="3"/>
  <c r="G47" i="3"/>
  <c r="F47" i="3"/>
  <c r="E47" i="3"/>
  <c r="D47" i="3"/>
  <c r="C47" i="3"/>
  <c r="B47" i="3"/>
  <c r="G46" i="3"/>
  <c r="F46" i="3"/>
  <c r="E46" i="3"/>
  <c r="D46" i="3"/>
  <c r="C46" i="3"/>
  <c r="B46" i="3"/>
  <c r="G45" i="3"/>
  <c r="F45" i="3"/>
  <c r="E45" i="3"/>
  <c r="D45" i="3"/>
  <c r="C45" i="3"/>
  <c r="B45" i="3"/>
  <c r="G53" i="3"/>
  <c r="A48" i="3"/>
  <c r="A47" i="3"/>
  <c r="A46" i="3"/>
  <c r="A45" i="3"/>
  <c r="G37" i="3"/>
  <c r="G35" i="3"/>
  <c r="F38" i="3"/>
  <c r="F37" i="3"/>
  <c r="F35" i="3"/>
  <c r="E39" i="3"/>
  <c r="E36" i="3"/>
  <c r="D39" i="3"/>
  <c r="D38" i="3"/>
  <c r="D35" i="3"/>
  <c r="C38" i="3"/>
  <c r="C37" i="3"/>
  <c r="B35" i="3"/>
  <c r="A36" i="3"/>
  <c r="G27" i="3"/>
  <c r="G25" i="3"/>
  <c r="F28" i="3"/>
  <c r="F26" i="3"/>
  <c r="E28" i="3"/>
  <c r="D26" i="3"/>
  <c r="C27" i="3"/>
  <c r="C25" i="3"/>
  <c r="B25" i="3"/>
  <c r="A27" i="3"/>
  <c r="A26" i="3"/>
  <c r="G17" i="3"/>
  <c r="G16" i="3"/>
  <c r="F18" i="3"/>
  <c r="F17" i="3"/>
  <c r="E18" i="3"/>
  <c r="D20" i="3"/>
  <c r="D17" i="3"/>
  <c r="C21" i="3"/>
  <c r="C20" i="3"/>
  <c r="C18" i="3"/>
  <c r="B17" i="3"/>
  <c r="B15" i="3"/>
  <c r="A16" i="3"/>
  <c r="A15" i="3"/>
  <c r="G8" i="3"/>
  <c r="G5" i="3"/>
  <c r="F12" i="3"/>
  <c r="F11" i="3"/>
  <c r="F9" i="3"/>
  <c r="F8" i="3"/>
  <c r="E6" i="3"/>
  <c r="D8" i="3"/>
  <c r="D7" i="3"/>
  <c r="C8" i="3"/>
  <c r="C6" i="3"/>
  <c r="B6" i="3"/>
  <c r="A7" i="3"/>
  <c r="G36" i="3"/>
  <c r="F39" i="3"/>
  <c r="F36" i="3"/>
  <c r="E38" i="3"/>
  <c r="E37" i="3"/>
  <c r="E35" i="3"/>
  <c r="D37" i="3"/>
  <c r="C39" i="3"/>
  <c r="C36" i="3"/>
  <c r="C35" i="3"/>
  <c r="A35" i="3"/>
  <c r="G28" i="3"/>
  <c r="G26" i="3"/>
  <c r="F27" i="3"/>
  <c r="F25" i="3"/>
  <c r="E27" i="3"/>
  <c r="E26" i="3"/>
  <c r="E25" i="3"/>
  <c r="D25" i="3"/>
  <c r="C26" i="3"/>
  <c r="A25" i="3"/>
  <c r="G18" i="3"/>
  <c r="G15" i="3"/>
  <c r="F19" i="3"/>
  <c r="F16" i="3"/>
  <c r="F15" i="3"/>
  <c r="E17" i="3"/>
  <c r="E16" i="3"/>
  <c r="E15" i="3"/>
  <c r="D19" i="3"/>
  <c r="D18" i="3"/>
  <c r="C19" i="3"/>
  <c r="C15" i="3"/>
  <c r="B16" i="3"/>
  <c r="A17" i="3"/>
  <c r="G7" i="3"/>
  <c r="F10" i="3"/>
  <c r="F7" i="3"/>
  <c r="F6" i="3"/>
  <c r="F5" i="3"/>
  <c r="E5" i="3"/>
  <c r="D6" i="3"/>
  <c r="D5" i="3"/>
  <c r="C9" i="3"/>
  <c r="C5" i="3"/>
  <c r="A5" i="3"/>
  <c r="D36" i="3"/>
  <c r="D16" i="3"/>
  <c r="D15" i="3"/>
  <c r="C17" i="3"/>
  <c r="C16" i="3"/>
  <c r="A18" i="3"/>
  <c r="G6" i="3"/>
  <c r="C7" i="3"/>
  <c r="B5" i="3"/>
  <c r="A6" i="3"/>
</calcChain>
</file>

<file path=xl/comments1.xml><?xml version="1.0" encoding="utf-8"?>
<comments xmlns="http://schemas.openxmlformats.org/spreadsheetml/2006/main">
  <authors>
    <author>temp</author>
  </authors>
  <commentList>
    <comment ref="G54" authorId="0">
      <text>
        <r>
          <rPr>
            <b/>
            <sz val="9"/>
            <color indexed="81"/>
            <rFont val="Tahoma"/>
            <family val="2"/>
          </rPr>
          <t xml:space="preserve">Calendar Cord:
</t>
        </r>
        <r>
          <rPr>
            <sz val="9"/>
            <color indexed="81"/>
            <rFont val="Tahoma"/>
            <family val="2"/>
          </rPr>
          <t xml:space="preserve">Nov 1st - Changed Golf for Tots to </t>
        </r>
        <r>
          <rPr>
            <b/>
            <sz val="9"/>
            <color indexed="81"/>
            <rFont val="Tahoma"/>
            <family val="2"/>
          </rPr>
          <t>"D&amp;E"</t>
        </r>
        <r>
          <rPr>
            <sz val="9"/>
            <color indexed="81"/>
            <rFont val="Tahoma"/>
            <family val="2"/>
          </rPr>
          <t xml:space="preserve">
Nov 25th - moved German Club from 25th to 21st.
Nov 20th -added conservative club
Nov 17th - changed to 
A: 1-3pm Little Theater Prod Mtg.
Nov 6 - Added 8:30am Bocchi Ball Club Meeting
Nov 18 7-9pm Little Theater Meeting
Nov 20 - I removed No Pasta night on the 26th of Nov.  I added
Veteran's Day BBQ on the 11th of Nov.
Added ARCC Meeting for the 12th, to replace 11th that falls on Veterans Day.
Nov 21 - Removed Gene Cunningham from the 20th 19th hole to be replace with STEVE COLE
Changed 19th Entertain. hours to 5-8
moved Little theater meeting from 18th to 20th.
Put German Club meeting in Little theaters spot on the 18th.
Took out Polish club (7th)
Added Private party on the 26th
10/23/2014 - removed bildg C Sweet Adaline rehearsal, changed Sweet Adallines to add "Holiday  Show"
10/27/2014 - Added name to 11/1/2014 Memorial Service
Changed the start time of the American Legion Card Party ofthe 23rd from 6-&gt;7pm
Removed Italian American Dinner from the 23rd of Nov. It is on for the 9th.
Remove German Club from the 21st.  Should ONLY have them on the 18th.
Added BFB Gospel Singers on 7th &amp; 21st
</t>
        </r>
      </text>
    </comment>
  </commentList>
</comments>
</file>

<file path=xl/comments2.xml><?xml version="1.0" encoding="utf-8"?>
<comments xmlns="http://schemas.openxmlformats.org/spreadsheetml/2006/main">
  <authors>
    <author>CalendarCoordinator</author>
  </authors>
  <commentList>
    <comment ref="G56" authorId="0">
      <text>
        <r>
          <rPr>
            <b/>
            <sz val="9"/>
            <color indexed="81"/>
            <rFont val="Tahoma"/>
            <family val="2"/>
          </rPr>
          <t>CalendarCoordinator:</t>
        </r>
        <r>
          <rPr>
            <sz val="9"/>
            <color indexed="81"/>
            <rFont val="Tahoma"/>
            <family val="2"/>
          </rPr>
          <t xml:space="preserve">
1/1/1965 - Lets put a log of changes here.
</t>
        </r>
      </text>
    </comment>
  </commentList>
</comments>
</file>

<file path=xl/sharedStrings.xml><?xml version="1.0" encoding="utf-8"?>
<sst xmlns="http://schemas.openxmlformats.org/spreadsheetml/2006/main" count="60" uniqueCount="19">
  <si>
    <t>BAREFOOT BAY</t>
  </si>
  <si>
    <t>SUNDAY</t>
  </si>
  <si>
    <t>MONDAY</t>
  </si>
  <si>
    <t>TUESDAY</t>
  </si>
  <si>
    <t>WEDNESDAY</t>
  </si>
  <si>
    <t>THURSDAY</t>
  </si>
  <si>
    <t>FRIDAY</t>
  </si>
  <si>
    <t>SATURDAY</t>
  </si>
  <si>
    <t>Lounge Music 7-10:30pm</t>
  </si>
  <si>
    <t>19TH HOLE 5:30-8:30PM - MUSIC BINGO</t>
  </si>
  <si>
    <t xml:space="preserve"> 4-7:30pm</t>
  </si>
  <si>
    <t>Happy Hour 3-7pm</t>
  </si>
  <si>
    <t xml:space="preserve">ROB &amp; TONI  </t>
  </si>
  <si>
    <t>SAX ON THE BEACH</t>
  </si>
  <si>
    <r>
      <rPr>
        <sz val="8"/>
        <color indexed="30"/>
        <rFont val="Arial"/>
        <family val="2"/>
      </rPr>
      <t>19th Hole</t>
    </r>
    <r>
      <rPr>
        <b/>
        <sz val="8"/>
        <color indexed="30"/>
        <rFont val="Arial"/>
        <family val="2"/>
      </rPr>
      <t>: 5-8pm GENE CALLAHAN</t>
    </r>
  </si>
  <si>
    <r>
      <rPr>
        <sz val="8"/>
        <color indexed="30"/>
        <rFont val="Arial"/>
        <family val="2"/>
      </rPr>
      <t>19th Hole</t>
    </r>
    <r>
      <rPr>
        <b/>
        <sz val="8"/>
        <color indexed="30"/>
        <rFont val="Arial"/>
        <family val="2"/>
      </rPr>
      <t>: 5-8pm STEVE COLE</t>
    </r>
  </si>
  <si>
    <t>JUNE</t>
  </si>
  <si>
    <t>KITCHEN OPEN TIL 7:30PM</t>
  </si>
  <si>
    <r>
      <t xml:space="preserve">DUMMY ENTRY - Did you remember to put an entry </t>
    </r>
    <r>
      <rPr>
        <b/>
        <sz val="10"/>
        <rFont val="MS Sans Serif"/>
        <family val="2"/>
      </rPr>
      <t>FOR EACH DATE</t>
    </r>
    <r>
      <rPr>
        <sz val="10"/>
        <rFont val="MS Sans Serif"/>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</si>
</sst>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21" x14ac:knownFonts="1">
    <font>
      <sz val="10"/>
      <name val="MS Sans Serif"/>
      <family val="2"/>
    </font>
    <font>
      <sz val="10"/>
      <name val="Arial"/>
      <family val="2"/>
    </font>
    <font>
      <b/>
      <sz val="24"/>
      <name val="Georgia"/>
      <family val="1"/>
    </font>
    <font>
      <b/>
      <sz val="26"/>
      <name val="Georgia"/>
      <family val="1"/>
    </font>
    <font>
      <b/>
      <sz val="14"/>
      <name val="Georgia"/>
      <family val="1"/>
    </font>
    <font>
      <sz val="8"/>
      <color indexed="30"/>
      <name val="Arial"/>
      <family val="2"/>
    </font>
    <font>
      <b/>
      <sz val="8"/>
      <color indexed="30"/>
      <name val="Arial"/>
      <family val="2"/>
    </font>
    <font>
      <b/>
      <sz val="9"/>
      <color indexed="81"/>
      <name val="Tahoma"/>
      <family val="2"/>
    </font>
    <font>
      <sz val="9"/>
      <color indexed="81"/>
      <name val="Tahoma"/>
      <family val="2"/>
    </font>
    <font>
      <b/>
      <sz val="10"/>
      <name val="MS Sans Serif"/>
      <family val="2"/>
    </font>
    <font>
      <b/>
      <sz val="14"/>
      <color rgb="FF0070C0"/>
      <name val="Georgia"/>
      <family val="1"/>
    </font>
    <font>
      <b/>
      <sz val="8"/>
      <color rgb="FF0070C0"/>
      <name val="Arial"/>
      <family val="2"/>
    </font>
    <font>
      <b/>
      <sz val="10"/>
      <color rgb="FF0070C0"/>
      <name val="Arial"/>
      <family val="2"/>
    </font>
    <font>
      <sz val="10"/>
      <color rgb="FF0070C0"/>
      <name val="Arial"/>
      <family val="2"/>
    </font>
    <font>
      <b/>
      <sz val="8"/>
      <color rgb="FF0070C0"/>
      <name val="Arial Black"/>
      <family val="2"/>
    </font>
    <font>
      <sz val="8"/>
      <color rgb="FF0070C0"/>
      <name val="Arial"/>
      <family val="2"/>
    </font>
    <font>
      <b/>
      <sz val="10.5"/>
      <color rgb="FF0070C0"/>
      <name val="Arial"/>
      <family val="2"/>
    </font>
    <font>
      <b/>
      <sz val="9"/>
      <color rgb="FF0070C0"/>
      <name val="Arial"/>
      <family val="2"/>
    </font>
    <font>
      <b/>
      <sz val="14"/>
      <color rgb="FF0070C0"/>
      <name val="Arial Black"/>
      <family val="2"/>
    </font>
    <font>
      <sz val="9"/>
      <color rgb="FF0070C0"/>
      <name val="Arial Black"/>
      <family val="2"/>
    </font>
    <font>
      <sz val="9"/>
      <color rgb="FF0070C0"/>
      <name val="Arial"/>
      <family val="2"/>
    </font>
  </fonts>
  <fills count="3">
    <fill>
      <patternFill patternType="none"/>
    </fill>
    <fill>
      <patternFill patternType="gray125"/>
    </fill>
    <fill>
      <patternFill patternType="solid">
        <fgColor theme="8" tint="0.79998168889431442"/>
        <bgColor indexed="65"/>
      </patternFill>
    </fill>
  </fills>
  <borders count="12">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right/>
      <top/>
      <bottom style="thin">
        <color indexed="64"/>
      </bottom>
      <diagonal/>
    </border>
  </borders>
  <cellStyleXfs count="3">
    <xf numFmtId="0" fontId="0" fillId="0" borderId="0"/>
    <xf numFmtId="0" fontId="1" fillId="0" borderId="0"/>
    <xf numFmtId="0" fontId="1" fillId="0" borderId="0"/>
  </cellStyleXfs>
  <cellXfs count="51">
    <xf numFmtId="0" fontId="0" fillId="0" borderId="0" xfId="0"/>
    <xf numFmtId="0" fontId="4" fillId="0" borderId="0" xfId="1" applyFont="1" applyAlignment="1">
      <alignment horizontal="center"/>
    </xf>
    <xf numFmtId="0" fontId="4" fillId="0" borderId="0" xfId="1" applyFont="1" applyBorder="1" applyAlignment="1">
      <alignment horizontal="center"/>
    </xf>
    <xf numFmtId="0" fontId="10" fillId="0" borderId="1" xfId="1" applyFont="1" applyBorder="1" applyAlignment="1">
      <alignment horizontal="left"/>
    </xf>
    <xf numFmtId="0" fontId="10" fillId="0" borderId="1" xfId="1" applyFont="1" applyFill="1" applyBorder="1" applyAlignment="1">
      <alignment horizontal="left"/>
    </xf>
    <xf numFmtId="0" fontId="11" fillId="0" borderId="0" xfId="1" applyFont="1" applyFill="1" applyBorder="1" applyAlignment="1">
      <alignment horizontal="center"/>
    </xf>
    <xf numFmtId="0" fontId="12" fillId="0" borderId="2" xfId="1" applyFont="1" applyBorder="1" applyAlignment="1">
      <alignment horizontal="center" vertical="top"/>
    </xf>
    <xf numFmtId="0" fontId="11" fillId="0" borderId="3" xfId="1" applyFont="1" applyBorder="1" applyAlignment="1">
      <alignment horizontal="left"/>
    </xf>
    <xf numFmtId="0" fontId="11" fillId="0" borderId="4" xfId="1" applyFont="1" applyFill="1" applyBorder="1" applyAlignment="1">
      <alignment horizontal="center"/>
    </xf>
    <xf numFmtId="0" fontId="6" fillId="0" borderId="4" xfId="1" applyFont="1" applyBorder="1" applyAlignment="1">
      <alignment horizontal="left" vertical="center"/>
    </xf>
    <xf numFmtId="0" fontId="13" fillId="0" borderId="4" xfId="1" applyFont="1" applyBorder="1" applyAlignment="1">
      <alignment vertical="top"/>
    </xf>
    <xf numFmtId="0" fontId="11" fillId="0" borderId="4" xfId="1" applyFont="1" applyBorder="1" applyAlignment="1">
      <alignment horizontal="center"/>
    </xf>
    <xf numFmtId="0" fontId="10" fillId="0" borderId="5" xfId="1" applyFont="1" applyBorder="1" applyAlignment="1">
      <alignment horizontal="left"/>
    </xf>
    <xf numFmtId="0" fontId="14" fillId="0" borderId="4" xfId="1" applyFont="1" applyBorder="1" applyAlignment="1">
      <alignment horizontal="left"/>
    </xf>
    <xf numFmtId="0" fontId="11" fillId="0" borderId="1" xfId="1" applyFont="1" applyBorder="1" applyAlignment="1">
      <alignment horizontal="center"/>
    </xf>
    <xf numFmtId="0" fontId="15" fillId="0" borderId="4" xfId="1" applyFont="1" applyBorder="1" applyAlignment="1">
      <alignment horizontal="left"/>
    </xf>
    <xf numFmtId="0" fontId="10" fillId="0" borderId="6" xfId="1" applyFont="1" applyBorder="1" applyAlignment="1">
      <alignment horizontal="left"/>
    </xf>
    <xf numFmtId="0" fontId="15" fillId="0" borderId="4" xfId="1" applyFont="1" applyFill="1" applyBorder="1" applyAlignment="1">
      <alignment horizontal="left"/>
    </xf>
    <xf numFmtId="0" fontId="16" fillId="0" borderId="7" xfId="1" applyFont="1" applyFill="1" applyBorder="1" applyAlignment="1">
      <alignment horizontal="left"/>
    </xf>
    <xf numFmtId="0" fontId="10" fillId="0" borderId="6" xfId="1" applyFont="1" applyFill="1" applyBorder="1" applyAlignment="1">
      <alignment horizontal="left"/>
    </xf>
    <xf numFmtId="0" fontId="10" fillId="0" borderId="2" xfId="1" applyFont="1" applyFill="1" applyBorder="1" applyAlignment="1">
      <alignment horizontal="left"/>
    </xf>
    <xf numFmtId="0" fontId="14" fillId="0" borderId="4" xfId="1" applyFont="1" applyBorder="1" applyAlignment="1">
      <alignment horizontal="center"/>
    </xf>
    <xf numFmtId="0" fontId="12" fillId="0" borderId="8" xfId="1" applyFont="1" applyBorder="1" applyAlignment="1"/>
    <xf numFmtId="14" fontId="13" fillId="0" borderId="4" xfId="1" applyNumberFormat="1" applyFont="1" applyFill="1" applyBorder="1" applyAlignment="1">
      <alignment horizontal="left" vertical="center" wrapText="1"/>
    </xf>
    <xf numFmtId="0" fontId="15" fillId="0" borderId="4" xfId="1" applyFont="1" applyBorder="1" applyAlignment="1">
      <alignment horizontal="left" vertical="center"/>
    </xf>
    <xf numFmtId="0" fontId="15" fillId="0" borderId="6" xfId="1" applyFont="1" applyBorder="1" applyAlignment="1">
      <alignment horizontal="left" vertical="center"/>
    </xf>
    <xf numFmtId="0" fontId="11" fillId="0" borderId="6" xfId="1" applyFont="1" applyBorder="1" applyAlignment="1">
      <alignment horizontal="left"/>
    </xf>
    <xf numFmtId="0" fontId="17" fillId="0" borderId="1" xfId="1" applyFont="1" applyBorder="1" applyAlignment="1">
      <alignment horizontal="left" vertical="center"/>
    </xf>
    <xf numFmtId="0" fontId="15" fillId="0" borderId="9" xfId="1" applyFont="1" applyBorder="1" applyAlignment="1">
      <alignment horizontal="right"/>
    </xf>
    <xf numFmtId="164" fontId="15" fillId="0" borderId="2" xfId="1" applyNumberFormat="1" applyFont="1" applyBorder="1" applyAlignment="1">
      <alignment horizontal="left"/>
    </xf>
    <xf numFmtId="0" fontId="13" fillId="0" borderId="4" xfId="1" applyFont="1" applyFill="1" applyBorder="1" applyAlignment="1"/>
    <xf numFmtId="0" fontId="18" fillId="0" borderId="1" xfId="1" applyFont="1" applyFill="1" applyBorder="1" applyAlignment="1">
      <alignment vertical="center"/>
    </xf>
    <xf numFmtId="0" fontId="19" fillId="0" borderId="1" xfId="1" applyFont="1" applyBorder="1" applyAlignment="1">
      <alignment vertical="center"/>
    </xf>
    <xf numFmtId="0" fontId="11" fillId="0" borderId="4" xfId="1" applyFont="1" applyFill="1" applyBorder="1" applyAlignment="1"/>
    <xf numFmtId="0" fontId="11" fillId="0" borderId="4" xfId="1" applyFont="1" applyBorder="1" applyAlignment="1">
      <alignment horizontal="left"/>
    </xf>
    <xf numFmtId="0" fontId="0" fillId="0" borderId="0" xfId="0" applyNumberFormat="1"/>
    <xf numFmtId="14" fontId="0" fillId="0" borderId="0" xfId="0" applyNumberFormat="1"/>
    <xf numFmtId="14" fontId="11" fillId="0" borderId="5" xfId="1" applyNumberFormat="1" applyFont="1" applyBorder="1" applyAlignment="1">
      <alignment horizontal="left"/>
    </xf>
    <xf numFmtId="0" fontId="20" fillId="0" borderId="2" xfId="1" applyFont="1" applyBorder="1" applyAlignment="1">
      <alignment horizontal="center" vertical="center"/>
    </xf>
    <xf numFmtId="0" fontId="14" fillId="0" borderId="2" xfId="1" applyFont="1" applyFill="1" applyBorder="1" applyAlignment="1">
      <alignment horizontal="center" vertical="center" wrapText="1"/>
    </xf>
    <xf numFmtId="0" fontId="15" fillId="0" borderId="5" xfId="1" applyFont="1" applyBorder="1" applyAlignment="1">
      <alignment horizontal="left" vertical="center"/>
    </xf>
    <xf numFmtId="0" fontId="12" fillId="0" borderId="2" xfId="1" applyFont="1" applyBorder="1" applyAlignment="1">
      <alignment horizontal="center" vertical="center"/>
    </xf>
    <xf numFmtId="0" fontId="10" fillId="0" borderId="1" xfId="1" applyFont="1" applyFill="1" applyBorder="1" applyAlignment="1">
      <alignment vertical="center"/>
    </xf>
    <xf numFmtId="0" fontId="11" fillId="0" borderId="4" xfId="1" applyFont="1" applyBorder="1" applyAlignment="1">
      <alignment horizontal="left" vertical="center"/>
    </xf>
    <xf numFmtId="0" fontId="4" fillId="2" borderId="10" xfId="1" applyFont="1" applyFill="1" applyBorder="1" applyAlignment="1">
      <alignment horizontal="center" vertical="center"/>
    </xf>
    <xf numFmtId="0" fontId="2" fillId="0" borderId="0" xfId="1" applyFont="1" applyAlignment="1">
      <alignment horizontal="left"/>
    </xf>
    <xf numFmtId="0" fontId="3" fillId="0" borderId="0" xfId="1" applyFont="1" applyAlignment="1">
      <alignment horizontal="center"/>
    </xf>
    <xf numFmtId="0" fontId="2" fillId="0" borderId="0" xfId="1" applyFont="1" applyAlignment="1">
      <alignment horizontal="left" vertical="center"/>
    </xf>
    <xf numFmtId="0" fontId="2" fillId="0" borderId="11" xfId="1" applyFont="1" applyBorder="1" applyAlignment="1">
      <alignment horizontal="left" vertical="center"/>
    </xf>
    <xf numFmtId="0" fontId="3" fillId="0" borderId="0" xfId="1" applyFont="1" applyAlignment="1">
      <alignment horizontal="right"/>
    </xf>
    <xf numFmtId="0" fontId="3" fillId="0" borderId="11" xfId="1" applyFont="1" applyBorder="1" applyAlignment="1">
      <alignment horizontal="right"/>
    </xf>
  </cellXfs>
  <cellStyles count="3">
    <cellStyle name="Normal" xfId="0" builtinId="0"/>
    <cellStyle name="Normal 2" xfId="1"/>
    <cellStyle name="Normal 5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editAs="oneCell">
    <xdr:from>
      <xdr:col>3</xdr:col>
      <xdr:colOff>1314450</xdr:colOff>
      <xdr:row>28</xdr:row>
      <xdr:rowOff>114300</xdr:rowOff>
    </xdr:from>
    <xdr:to>
      <xdr:col>3</xdr:col>
      <xdr:colOff>1314450</xdr:colOff>
      <xdr:row>31</xdr:row>
      <xdr:rowOff>133350</xdr:rowOff>
    </xdr:to>
    <xdr:pic>
      <xdr:nvPicPr>
        <xdr:cNvPr id="2199" name="Picture 59" descr="C:\Documents and Settings\User\Local Settings\Temporary Internet Files\Content.IE5\2MN35XXR\MC900112408[1].wm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86650" y="4953000"/>
          <a:ext cx="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600075</xdr:colOff>
      <xdr:row>27</xdr:row>
      <xdr:rowOff>76200</xdr:rowOff>
    </xdr:from>
    <xdr:to>
      <xdr:col>3</xdr:col>
      <xdr:colOff>609600</xdr:colOff>
      <xdr:row>30</xdr:row>
      <xdr:rowOff>19050</xdr:rowOff>
    </xdr:to>
    <xdr:pic>
      <xdr:nvPicPr>
        <xdr:cNvPr id="2200" name="Picture 59" descr="C:\Documents and Settings\User\Local Settings\Temporary Internet Files\Content.IE5\2MN35XXR\MC900112408[1].wm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72275" y="4752975"/>
          <a:ext cx="952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1314450</xdr:colOff>
      <xdr:row>28</xdr:row>
      <xdr:rowOff>114300</xdr:rowOff>
    </xdr:from>
    <xdr:to>
      <xdr:col>3</xdr:col>
      <xdr:colOff>1314450</xdr:colOff>
      <xdr:row>31</xdr:row>
      <xdr:rowOff>133350</xdr:rowOff>
    </xdr:to>
    <xdr:pic>
      <xdr:nvPicPr>
        <xdr:cNvPr id="4177" name="Picture 59" descr="C:\Documents and Settings\User\Local Settings\Temporary Internet Files\Content.IE5\2MN35XXR\MC900112408[1].wm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86650" y="6076950"/>
          <a:ext cx="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600075</xdr:colOff>
      <xdr:row>27</xdr:row>
      <xdr:rowOff>76200</xdr:rowOff>
    </xdr:from>
    <xdr:to>
      <xdr:col>3</xdr:col>
      <xdr:colOff>609600</xdr:colOff>
      <xdr:row>30</xdr:row>
      <xdr:rowOff>19050</xdr:rowOff>
    </xdr:to>
    <xdr:pic>
      <xdr:nvPicPr>
        <xdr:cNvPr id="4178" name="Picture 59" descr="C:\Documents and Settings\User\Local Settings\Temporary Internet Files\Content.IE5\2MN35XXR\MC900112408[1].wm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72275" y="5876925"/>
          <a:ext cx="952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K260"/>
  <sheetViews>
    <sheetView tabSelected="1" zoomScaleNormal="100" workbookViewId="0">
      <selection activeCell="A2" sqref="A2"/>
    </sheetView>
  </sheetViews>
  <sheetFormatPr defaultRowHeight="12.75" x14ac:dyDescent="0.2"/>
  <cols>
    <col min="4" max="4" width="63" customWidth="1"/>
    <col min="5" max="5" width="47.42578125" customWidth="1"/>
    <col min="6" max="6" width="18.7109375" customWidth="1"/>
    <col min="7" max="7" width="15.5703125" customWidth="1"/>
    <col min="8" max="8" width="16.42578125" hidden="1" customWidth="1"/>
    <col min="9" max="9" width="15.7109375" customWidth="1"/>
    <col min="10" max="11" width="13.85546875" customWidth="1"/>
    <col min="12" max="12" width="154.7109375" customWidth="1"/>
  </cols>
  <sheetData>
    <row r="2" spans="2:11" x14ac:dyDescent="0.2">
      <c r="B2" t="str">
        <f>IF(LEFT($D2,3)="D&amp;E","D&amp;E",IF(LEFT($D2,4)="Pool",LEFT($D2,6), LEFT($D2,1)))</f>
        <v>D</v>
      </c>
      <c r="D2" t="s">
        <v>18</v>
      </c>
      <c r="F2" s="36">
        <v>42092</v>
      </c>
      <c r="J2" s="35" t="str">
        <f>IF(MOD(($G2-INT($G2))*24,1)=0,IF(($G2-INT($G2))*24&gt;12,CONCATENATE(($G2-INT($G2))*24-12,""),CONCATENATE(($G2-INT($G2))*24,"")),IF(($G2-INT($G2))*24&gt;12,CONCATENATE(($G2-INT($G2))*24-12,""),CONCATENATE(($G2-INT($G2))*24,"")))</f>
        <v>0</v>
      </c>
      <c r="K2" s="35" t="str">
        <f>IF(MOD(($I2-INT($I2))*24,1)=0,IF(($I2-INT($I2))*24&gt;12,CONCATENATE(($I2-INT($I2))*24-12,"pm"),CONCATENATE(($I2-INT($I2))*24,"am")),IF(($I2-INT($I2))*24&gt;12,CONCATENATE(($I2-INT($I2))*24-12,"pm"),CONCATENATE(($I2-INT($I2))*24,"am")))</f>
        <v>0am</v>
      </c>
    </row>
    <row r="3" spans="2:11" x14ac:dyDescent="0.2">
      <c r="J3" s="35"/>
      <c r="K3" s="35"/>
    </row>
    <row r="4" spans="2:11" x14ac:dyDescent="0.2">
      <c r="J4" s="35"/>
      <c r="K4" s="35"/>
    </row>
    <row r="5" spans="2:11" x14ac:dyDescent="0.2">
      <c r="J5" s="35"/>
      <c r="K5" s="35"/>
    </row>
    <row r="6" spans="2:11" x14ac:dyDescent="0.2">
      <c r="J6" s="35"/>
      <c r="K6" s="35"/>
    </row>
    <row r="7" spans="2:11" x14ac:dyDescent="0.2">
      <c r="J7" s="35"/>
      <c r="K7" s="35"/>
    </row>
    <row r="8" spans="2:11" x14ac:dyDescent="0.2">
      <c r="J8" s="35"/>
      <c r="K8" s="35"/>
    </row>
    <row r="9" spans="2:11" x14ac:dyDescent="0.2">
      <c r="J9" s="35"/>
      <c r="K9" s="35"/>
    </row>
    <row r="10" spans="2:11" x14ac:dyDescent="0.2">
      <c r="F10" s="36"/>
      <c r="J10" s="35"/>
      <c r="K10" s="35"/>
    </row>
    <row r="11" spans="2:11" x14ac:dyDescent="0.2">
      <c r="J11" s="35"/>
      <c r="K11" s="35"/>
    </row>
    <row r="12" spans="2:11" x14ac:dyDescent="0.2">
      <c r="J12" s="35"/>
      <c r="K12" s="35"/>
    </row>
    <row r="13" spans="2:11" x14ac:dyDescent="0.2">
      <c r="J13" s="35"/>
      <c r="K13" s="35"/>
    </row>
    <row r="14" spans="2:11" x14ac:dyDescent="0.2">
      <c r="J14" s="35"/>
      <c r="K14" s="35"/>
    </row>
    <row r="15" spans="2:11" x14ac:dyDescent="0.2">
      <c r="J15" s="35"/>
      <c r="K15" s="35"/>
    </row>
    <row r="16" spans="2:11" x14ac:dyDescent="0.2">
      <c r="J16" s="35"/>
      <c r="K16" s="35"/>
    </row>
    <row r="17" spans="6:11" x14ac:dyDescent="0.2">
      <c r="J17" s="35"/>
      <c r="K17" s="35"/>
    </row>
    <row r="18" spans="6:11" x14ac:dyDescent="0.2">
      <c r="F18" s="36"/>
      <c r="J18" s="35"/>
      <c r="K18" s="35"/>
    </row>
    <row r="19" spans="6:11" x14ac:dyDescent="0.2">
      <c r="J19" s="35"/>
      <c r="K19" s="35"/>
    </row>
    <row r="20" spans="6:11" x14ac:dyDescent="0.2">
      <c r="J20" s="35"/>
      <c r="K20" s="35"/>
    </row>
    <row r="21" spans="6:11" x14ac:dyDescent="0.2">
      <c r="J21" s="35"/>
      <c r="K21" s="35"/>
    </row>
    <row r="22" spans="6:11" x14ac:dyDescent="0.2">
      <c r="J22" s="35"/>
      <c r="K22" s="35"/>
    </row>
    <row r="23" spans="6:11" x14ac:dyDescent="0.2">
      <c r="J23" s="35"/>
      <c r="K23" s="35"/>
    </row>
    <row r="24" spans="6:11" x14ac:dyDescent="0.2">
      <c r="J24" s="35"/>
      <c r="K24" s="35"/>
    </row>
    <row r="25" spans="6:11" x14ac:dyDescent="0.2">
      <c r="J25" s="35"/>
      <c r="K25" s="35"/>
    </row>
    <row r="26" spans="6:11" x14ac:dyDescent="0.2">
      <c r="J26" s="35"/>
      <c r="K26" s="35"/>
    </row>
    <row r="27" spans="6:11" x14ac:dyDescent="0.2">
      <c r="J27" s="35"/>
      <c r="K27" s="35"/>
    </row>
    <row r="28" spans="6:11" x14ac:dyDescent="0.2">
      <c r="J28" s="35"/>
      <c r="K28" s="35"/>
    </row>
    <row r="29" spans="6:11" x14ac:dyDescent="0.2">
      <c r="J29" s="35"/>
      <c r="K29" s="35"/>
    </row>
    <row r="30" spans="6:11" x14ac:dyDescent="0.2">
      <c r="J30" s="35"/>
      <c r="K30" s="35"/>
    </row>
    <row r="31" spans="6:11" x14ac:dyDescent="0.2">
      <c r="J31" s="35"/>
      <c r="K31" s="35"/>
    </row>
    <row r="32" spans="6:11" x14ac:dyDescent="0.2">
      <c r="J32" s="35"/>
      <c r="K32" s="35"/>
    </row>
    <row r="33" spans="10:11" x14ac:dyDescent="0.2">
      <c r="J33" s="35"/>
      <c r="K33" s="35"/>
    </row>
    <row r="34" spans="10:11" x14ac:dyDescent="0.2">
      <c r="J34" s="35"/>
      <c r="K34" s="35"/>
    </row>
    <row r="35" spans="10:11" x14ac:dyDescent="0.2">
      <c r="J35" s="35"/>
      <c r="K35" s="35"/>
    </row>
    <row r="36" spans="10:11" x14ac:dyDescent="0.2">
      <c r="J36" s="35"/>
      <c r="K36" s="35"/>
    </row>
    <row r="37" spans="10:11" x14ac:dyDescent="0.2">
      <c r="J37" s="35"/>
      <c r="K37" s="35"/>
    </row>
    <row r="38" spans="10:11" x14ac:dyDescent="0.2">
      <c r="J38" s="35"/>
      <c r="K38" s="35"/>
    </row>
    <row r="39" spans="10:11" x14ac:dyDescent="0.2">
      <c r="J39" s="35"/>
      <c r="K39" s="35"/>
    </row>
    <row r="40" spans="10:11" x14ac:dyDescent="0.2">
      <c r="J40" s="35"/>
      <c r="K40" s="35"/>
    </row>
    <row r="41" spans="10:11" x14ac:dyDescent="0.2">
      <c r="J41" s="35"/>
      <c r="K41" s="35"/>
    </row>
    <row r="42" spans="10:11" x14ac:dyDescent="0.2">
      <c r="J42" s="35"/>
      <c r="K42" s="35"/>
    </row>
    <row r="43" spans="10:11" x14ac:dyDescent="0.2">
      <c r="J43" s="35"/>
      <c r="K43" s="35"/>
    </row>
    <row r="44" spans="10:11" x14ac:dyDescent="0.2">
      <c r="J44" s="35"/>
      <c r="K44" s="35"/>
    </row>
    <row r="45" spans="10:11" x14ac:dyDescent="0.2">
      <c r="J45" s="35"/>
      <c r="K45" s="35"/>
    </row>
    <row r="46" spans="10:11" x14ac:dyDescent="0.2">
      <c r="J46" s="35"/>
      <c r="K46" s="35"/>
    </row>
    <row r="47" spans="10:11" x14ac:dyDescent="0.2">
      <c r="J47" s="35"/>
      <c r="K47" s="35"/>
    </row>
    <row r="48" spans="10:11" x14ac:dyDescent="0.2">
      <c r="J48" s="35"/>
      <c r="K48" s="35"/>
    </row>
    <row r="49" spans="10:11" x14ac:dyDescent="0.2">
      <c r="J49" s="35"/>
      <c r="K49" s="35"/>
    </row>
    <row r="50" spans="10:11" x14ac:dyDescent="0.2">
      <c r="J50" s="35"/>
      <c r="K50" s="35"/>
    </row>
    <row r="51" spans="10:11" x14ac:dyDescent="0.2">
      <c r="J51" s="35"/>
      <c r="K51" s="35"/>
    </row>
    <row r="52" spans="10:11" x14ac:dyDescent="0.2">
      <c r="J52" s="35"/>
      <c r="K52" s="35"/>
    </row>
    <row r="53" spans="10:11" x14ac:dyDescent="0.2">
      <c r="J53" s="35"/>
      <c r="K53" s="35"/>
    </row>
    <row r="54" spans="10:11" x14ac:dyDescent="0.2">
      <c r="J54" s="35"/>
      <c r="K54" s="35"/>
    </row>
    <row r="55" spans="10:11" x14ac:dyDescent="0.2">
      <c r="J55" s="35"/>
      <c r="K55" s="35"/>
    </row>
    <row r="56" spans="10:11" x14ac:dyDescent="0.2">
      <c r="J56" s="35"/>
      <c r="K56" s="35"/>
    </row>
    <row r="57" spans="10:11" x14ac:dyDescent="0.2">
      <c r="J57" s="35"/>
      <c r="K57" s="35"/>
    </row>
    <row r="58" spans="10:11" x14ac:dyDescent="0.2">
      <c r="J58" s="35"/>
      <c r="K58" s="35"/>
    </row>
    <row r="59" spans="10:11" x14ac:dyDescent="0.2">
      <c r="J59" s="35"/>
      <c r="K59" s="35"/>
    </row>
    <row r="60" spans="10:11" x14ac:dyDescent="0.2">
      <c r="J60" s="35"/>
      <c r="K60" s="35"/>
    </row>
    <row r="61" spans="10:11" x14ac:dyDescent="0.2">
      <c r="J61" s="35"/>
      <c r="K61" s="35"/>
    </row>
    <row r="62" spans="10:11" x14ac:dyDescent="0.2">
      <c r="J62" s="35"/>
      <c r="K62" s="35"/>
    </row>
    <row r="63" spans="10:11" x14ac:dyDescent="0.2">
      <c r="J63" s="35"/>
      <c r="K63" s="35"/>
    </row>
    <row r="64" spans="10:11" x14ac:dyDescent="0.2">
      <c r="J64" s="35"/>
      <c r="K64" s="35"/>
    </row>
    <row r="65" spans="6:11" x14ac:dyDescent="0.2">
      <c r="J65" s="35"/>
      <c r="K65" s="35"/>
    </row>
    <row r="66" spans="6:11" x14ac:dyDescent="0.2">
      <c r="F66" s="36"/>
      <c r="J66" s="35"/>
      <c r="K66" s="35"/>
    </row>
    <row r="67" spans="6:11" x14ac:dyDescent="0.2">
      <c r="F67" s="36"/>
      <c r="J67" s="35"/>
      <c r="K67" s="35"/>
    </row>
    <row r="68" spans="6:11" x14ac:dyDescent="0.2">
      <c r="F68" s="36"/>
      <c r="J68" s="35"/>
      <c r="K68" s="35"/>
    </row>
    <row r="69" spans="6:11" x14ac:dyDescent="0.2">
      <c r="F69" s="36"/>
      <c r="J69" s="35"/>
      <c r="K69" s="35"/>
    </row>
    <row r="70" spans="6:11" x14ac:dyDescent="0.2">
      <c r="F70" s="36"/>
      <c r="J70" s="35"/>
      <c r="K70" s="35"/>
    </row>
    <row r="71" spans="6:11" x14ac:dyDescent="0.2">
      <c r="F71" s="36"/>
      <c r="J71" s="35"/>
      <c r="K71" s="35"/>
    </row>
    <row r="72" spans="6:11" x14ac:dyDescent="0.2">
      <c r="F72" s="36"/>
      <c r="J72" s="35"/>
      <c r="K72" s="35"/>
    </row>
    <row r="73" spans="6:11" x14ac:dyDescent="0.2">
      <c r="F73" s="36"/>
      <c r="J73" s="35"/>
      <c r="K73" s="35"/>
    </row>
    <row r="74" spans="6:11" x14ac:dyDescent="0.2">
      <c r="J74" s="35"/>
      <c r="K74" s="35"/>
    </row>
    <row r="75" spans="6:11" x14ac:dyDescent="0.2">
      <c r="J75" s="35"/>
      <c r="K75" s="35"/>
    </row>
    <row r="76" spans="6:11" x14ac:dyDescent="0.2">
      <c r="J76" s="35"/>
      <c r="K76" s="35"/>
    </row>
    <row r="77" spans="6:11" x14ac:dyDescent="0.2">
      <c r="J77" s="35"/>
      <c r="K77" s="35"/>
    </row>
    <row r="78" spans="6:11" x14ac:dyDescent="0.2">
      <c r="J78" s="35"/>
      <c r="K78" s="35"/>
    </row>
    <row r="79" spans="6:11" x14ac:dyDescent="0.2">
      <c r="J79" s="35"/>
      <c r="K79" s="35"/>
    </row>
    <row r="80" spans="6:11" x14ac:dyDescent="0.2">
      <c r="J80" s="35"/>
      <c r="K80" s="35"/>
    </row>
    <row r="81" spans="10:11" x14ac:dyDescent="0.2">
      <c r="J81" s="35"/>
      <c r="K81" s="35"/>
    </row>
    <row r="82" spans="10:11" x14ac:dyDescent="0.2">
      <c r="J82" s="35"/>
      <c r="K82" s="35"/>
    </row>
    <row r="83" spans="10:11" x14ac:dyDescent="0.2">
      <c r="J83" s="35"/>
      <c r="K83" s="35"/>
    </row>
    <row r="84" spans="10:11" x14ac:dyDescent="0.2">
      <c r="J84" s="35"/>
      <c r="K84" s="35"/>
    </row>
    <row r="85" spans="10:11" x14ac:dyDescent="0.2">
      <c r="J85" s="35"/>
      <c r="K85" s="35"/>
    </row>
    <row r="86" spans="10:11" x14ac:dyDescent="0.2">
      <c r="J86" s="35"/>
      <c r="K86" s="35"/>
    </row>
    <row r="87" spans="10:11" x14ac:dyDescent="0.2">
      <c r="J87" s="35"/>
      <c r="K87" s="35"/>
    </row>
    <row r="88" spans="10:11" x14ac:dyDescent="0.2">
      <c r="J88" s="35"/>
      <c r="K88" s="35"/>
    </row>
    <row r="89" spans="10:11" x14ac:dyDescent="0.2">
      <c r="J89" s="35"/>
      <c r="K89" s="35"/>
    </row>
    <row r="90" spans="10:11" x14ac:dyDescent="0.2">
      <c r="J90" s="35"/>
      <c r="K90" s="35"/>
    </row>
    <row r="91" spans="10:11" x14ac:dyDescent="0.2">
      <c r="J91" s="35"/>
      <c r="K91" s="35"/>
    </row>
    <row r="92" spans="10:11" x14ac:dyDescent="0.2">
      <c r="J92" s="35"/>
      <c r="K92" s="35"/>
    </row>
    <row r="93" spans="10:11" x14ac:dyDescent="0.2">
      <c r="J93" s="35"/>
      <c r="K93" s="35"/>
    </row>
    <row r="94" spans="10:11" x14ac:dyDescent="0.2">
      <c r="J94" s="35"/>
      <c r="K94" s="35"/>
    </row>
    <row r="95" spans="10:11" x14ac:dyDescent="0.2">
      <c r="J95" s="35"/>
      <c r="K95" s="35"/>
    </row>
    <row r="96" spans="10:11" x14ac:dyDescent="0.2">
      <c r="J96" s="35"/>
      <c r="K96" s="35"/>
    </row>
    <row r="97" spans="10:11" x14ac:dyDescent="0.2">
      <c r="J97" s="35"/>
      <c r="K97" s="35"/>
    </row>
    <row r="98" spans="10:11" x14ac:dyDescent="0.2">
      <c r="J98" s="35"/>
      <c r="K98" s="35"/>
    </row>
    <row r="99" spans="10:11" x14ac:dyDescent="0.2">
      <c r="J99" s="35"/>
      <c r="K99" s="35"/>
    </row>
    <row r="100" spans="10:11" x14ac:dyDescent="0.2">
      <c r="J100" s="35"/>
      <c r="K100" s="35"/>
    </row>
    <row r="101" spans="10:11" x14ac:dyDescent="0.2">
      <c r="J101" s="35"/>
      <c r="K101" s="35"/>
    </row>
    <row r="102" spans="10:11" x14ac:dyDescent="0.2">
      <c r="J102" s="35"/>
      <c r="K102" s="35"/>
    </row>
    <row r="103" spans="10:11" x14ac:dyDescent="0.2">
      <c r="J103" s="35"/>
      <c r="K103" s="35"/>
    </row>
    <row r="104" spans="10:11" x14ac:dyDescent="0.2">
      <c r="J104" s="35"/>
      <c r="K104" s="35"/>
    </row>
    <row r="105" spans="10:11" x14ac:dyDescent="0.2">
      <c r="J105" s="35"/>
      <c r="K105" s="35"/>
    </row>
    <row r="106" spans="10:11" x14ac:dyDescent="0.2">
      <c r="J106" s="35"/>
      <c r="K106" s="35"/>
    </row>
    <row r="107" spans="10:11" x14ac:dyDescent="0.2">
      <c r="J107" s="35"/>
      <c r="K107" s="35"/>
    </row>
    <row r="108" spans="10:11" x14ac:dyDescent="0.2">
      <c r="J108" s="35"/>
      <c r="K108" s="35"/>
    </row>
    <row r="109" spans="10:11" x14ac:dyDescent="0.2">
      <c r="J109" s="35"/>
      <c r="K109" s="35"/>
    </row>
    <row r="110" spans="10:11" x14ac:dyDescent="0.2">
      <c r="J110" s="35"/>
      <c r="K110" s="35"/>
    </row>
    <row r="111" spans="10:11" x14ac:dyDescent="0.2">
      <c r="J111" s="35"/>
      <c r="K111" s="35"/>
    </row>
    <row r="112" spans="10:11" x14ac:dyDescent="0.2">
      <c r="J112" s="35"/>
      <c r="K112" s="35"/>
    </row>
    <row r="113" spans="10:11" x14ac:dyDescent="0.2">
      <c r="J113" s="35"/>
      <c r="K113" s="35"/>
    </row>
    <row r="114" spans="10:11" x14ac:dyDescent="0.2">
      <c r="J114" s="35"/>
      <c r="K114" s="35"/>
    </row>
    <row r="115" spans="10:11" x14ac:dyDescent="0.2">
      <c r="J115" s="35"/>
      <c r="K115" s="35"/>
    </row>
    <row r="116" spans="10:11" x14ac:dyDescent="0.2">
      <c r="J116" s="35"/>
      <c r="K116" s="35"/>
    </row>
    <row r="117" spans="10:11" x14ac:dyDescent="0.2">
      <c r="J117" s="35"/>
      <c r="K117" s="35"/>
    </row>
    <row r="118" spans="10:11" x14ac:dyDescent="0.2">
      <c r="J118" s="35"/>
      <c r="K118" s="35"/>
    </row>
    <row r="119" spans="10:11" x14ac:dyDescent="0.2">
      <c r="J119" s="35"/>
      <c r="K119" s="35"/>
    </row>
    <row r="120" spans="10:11" x14ac:dyDescent="0.2">
      <c r="J120" s="35"/>
      <c r="K120" s="35"/>
    </row>
    <row r="121" spans="10:11" x14ac:dyDescent="0.2">
      <c r="J121" s="35"/>
      <c r="K121" s="35"/>
    </row>
    <row r="122" spans="10:11" x14ac:dyDescent="0.2">
      <c r="J122" s="35"/>
      <c r="K122" s="35"/>
    </row>
    <row r="123" spans="10:11" x14ac:dyDescent="0.2">
      <c r="J123" s="35"/>
      <c r="K123" s="35"/>
    </row>
    <row r="124" spans="10:11" x14ac:dyDescent="0.2">
      <c r="J124" s="35"/>
      <c r="K124" s="35"/>
    </row>
    <row r="125" spans="10:11" x14ac:dyDescent="0.2">
      <c r="J125" s="35"/>
      <c r="K125" s="35"/>
    </row>
    <row r="126" spans="10:11" x14ac:dyDescent="0.2">
      <c r="J126" s="35"/>
      <c r="K126" s="35"/>
    </row>
    <row r="127" spans="10:11" x14ac:dyDescent="0.2">
      <c r="J127" s="35"/>
      <c r="K127" s="35"/>
    </row>
    <row r="128" spans="10:11" x14ac:dyDescent="0.2">
      <c r="J128" s="35"/>
      <c r="K128" s="35"/>
    </row>
    <row r="129" spans="10:11" x14ac:dyDescent="0.2">
      <c r="J129" s="35"/>
      <c r="K129" s="35"/>
    </row>
    <row r="130" spans="10:11" x14ac:dyDescent="0.2">
      <c r="J130" s="35"/>
      <c r="K130" s="35"/>
    </row>
    <row r="131" spans="10:11" x14ac:dyDescent="0.2">
      <c r="J131" s="35"/>
      <c r="K131" s="35"/>
    </row>
    <row r="132" spans="10:11" x14ac:dyDescent="0.2">
      <c r="J132" s="35"/>
      <c r="K132" s="35"/>
    </row>
    <row r="133" spans="10:11" x14ac:dyDescent="0.2">
      <c r="J133" s="35"/>
      <c r="K133" s="35"/>
    </row>
    <row r="134" spans="10:11" x14ac:dyDescent="0.2">
      <c r="J134" s="35"/>
      <c r="K134" s="35"/>
    </row>
    <row r="135" spans="10:11" x14ac:dyDescent="0.2">
      <c r="J135" s="35"/>
      <c r="K135" s="35"/>
    </row>
    <row r="136" spans="10:11" x14ac:dyDescent="0.2">
      <c r="J136" s="35"/>
      <c r="K136" s="35"/>
    </row>
    <row r="137" spans="10:11" x14ac:dyDescent="0.2">
      <c r="J137" s="35"/>
      <c r="K137" s="35"/>
    </row>
    <row r="138" spans="10:11" x14ac:dyDescent="0.2">
      <c r="J138" s="35"/>
      <c r="K138" s="35"/>
    </row>
    <row r="139" spans="10:11" x14ac:dyDescent="0.2">
      <c r="J139" s="35"/>
      <c r="K139" s="35"/>
    </row>
    <row r="140" spans="10:11" x14ac:dyDescent="0.2">
      <c r="J140" s="35"/>
      <c r="K140" s="35"/>
    </row>
    <row r="141" spans="10:11" x14ac:dyDescent="0.2">
      <c r="J141" s="35"/>
      <c r="K141" s="35"/>
    </row>
    <row r="142" spans="10:11" x14ac:dyDescent="0.2">
      <c r="J142" s="35"/>
      <c r="K142" s="35"/>
    </row>
    <row r="143" spans="10:11" x14ac:dyDescent="0.2">
      <c r="J143" s="35"/>
      <c r="K143" s="35"/>
    </row>
    <row r="144" spans="10:11" x14ac:dyDescent="0.2">
      <c r="J144" s="35"/>
      <c r="K144" s="35"/>
    </row>
    <row r="145" spans="10:11" x14ac:dyDescent="0.2">
      <c r="J145" s="35"/>
      <c r="K145" s="35"/>
    </row>
    <row r="146" spans="10:11" x14ac:dyDescent="0.2">
      <c r="J146" s="35"/>
      <c r="K146" s="35"/>
    </row>
    <row r="147" spans="10:11" x14ac:dyDescent="0.2">
      <c r="J147" s="35"/>
      <c r="K147" s="35"/>
    </row>
    <row r="148" spans="10:11" x14ac:dyDescent="0.2">
      <c r="J148" s="35"/>
      <c r="K148" s="35"/>
    </row>
    <row r="149" spans="10:11" x14ac:dyDescent="0.2">
      <c r="J149" s="35"/>
      <c r="K149" s="35"/>
    </row>
    <row r="150" spans="10:11" x14ac:dyDescent="0.2">
      <c r="J150" s="35"/>
      <c r="K150" s="35"/>
    </row>
    <row r="151" spans="10:11" x14ac:dyDescent="0.2">
      <c r="J151" s="35"/>
      <c r="K151" s="35"/>
    </row>
    <row r="152" spans="10:11" x14ac:dyDescent="0.2">
      <c r="J152" s="35"/>
      <c r="K152" s="35"/>
    </row>
    <row r="153" spans="10:11" x14ac:dyDescent="0.2">
      <c r="J153" s="35"/>
      <c r="K153" s="35"/>
    </row>
    <row r="154" spans="10:11" x14ac:dyDescent="0.2">
      <c r="J154" s="35"/>
      <c r="K154" s="35"/>
    </row>
    <row r="155" spans="10:11" x14ac:dyDescent="0.2">
      <c r="J155" s="35"/>
      <c r="K155" s="35"/>
    </row>
    <row r="156" spans="10:11" x14ac:dyDescent="0.2">
      <c r="J156" s="35"/>
      <c r="K156" s="35"/>
    </row>
    <row r="157" spans="10:11" x14ac:dyDescent="0.2">
      <c r="J157" s="35"/>
      <c r="K157" s="35"/>
    </row>
    <row r="158" spans="10:11" x14ac:dyDescent="0.2">
      <c r="J158" s="35"/>
      <c r="K158" s="35"/>
    </row>
    <row r="159" spans="10:11" x14ac:dyDescent="0.2">
      <c r="J159" s="35"/>
      <c r="K159" s="35"/>
    </row>
    <row r="160" spans="10:11" x14ac:dyDescent="0.2">
      <c r="J160" s="35"/>
      <c r="K160" s="35"/>
    </row>
    <row r="161" spans="10:11" x14ac:dyDescent="0.2">
      <c r="J161" s="35"/>
      <c r="K161" s="35"/>
    </row>
    <row r="162" spans="10:11" x14ac:dyDescent="0.2">
      <c r="J162" s="35"/>
      <c r="K162" s="35"/>
    </row>
    <row r="163" spans="10:11" x14ac:dyDescent="0.2">
      <c r="J163" s="35"/>
      <c r="K163" s="35"/>
    </row>
    <row r="164" spans="10:11" x14ac:dyDescent="0.2">
      <c r="J164" s="35"/>
      <c r="K164" s="35"/>
    </row>
    <row r="165" spans="10:11" x14ac:dyDescent="0.2">
      <c r="J165" s="35"/>
      <c r="K165" s="35"/>
    </row>
    <row r="166" spans="10:11" x14ac:dyDescent="0.2">
      <c r="J166" s="35"/>
      <c r="K166" s="35"/>
    </row>
    <row r="167" spans="10:11" x14ac:dyDescent="0.2">
      <c r="J167" s="35"/>
      <c r="K167" s="35"/>
    </row>
    <row r="168" spans="10:11" x14ac:dyDescent="0.2">
      <c r="J168" s="35"/>
      <c r="K168" s="35"/>
    </row>
    <row r="169" spans="10:11" x14ac:dyDescent="0.2">
      <c r="J169" s="35"/>
      <c r="K169" s="35"/>
    </row>
    <row r="170" spans="10:11" x14ac:dyDescent="0.2">
      <c r="J170" s="35"/>
      <c r="K170" s="35"/>
    </row>
    <row r="171" spans="10:11" x14ac:dyDescent="0.2">
      <c r="J171" s="35"/>
      <c r="K171" s="35"/>
    </row>
    <row r="172" spans="10:11" x14ac:dyDescent="0.2">
      <c r="J172" s="35"/>
      <c r="K172" s="35"/>
    </row>
    <row r="173" spans="10:11" x14ac:dyDescent="0.2">
      <c r="J173" s="35"/>
      <c r="K173" s="35"/>
    </row>
    <row r="174" spans="10:11" x14ac:dyDescent="0.2">
      <c r="J174" s="35"/>
      <c r="K174" s="35"/>
    </row>
    <row r="175" spans="10:11" x14ac:dyDescent="0.2">
      <c r="J175" s="35"/>
      <c r="K175" s="35"/>
    </row>
    <row r="176" spans="10:11" x14ac:dyDescent="0.2">
      <c r="J176" s="35"/>
      <c r="K176" s="35"/>
    </row>
    <row r="177" spans="6:11" x14ac:dyDescent="0.2">
      <c r="J177" s="35"/>
      <c r="K177" s="35"/>
    </row>
    <row r="178" spans="6:11" x14ac:dyDescent="0.2">
      <c r="F178" s="36"/>
      <c r="J178" s="35"/>
      <c r="K178" s="35"/>
    </row>
    <row r="179" spans="6:11" x14ac:dyDescent="0.2">
      <c r="F179" s="36"/>
      <c r="J179" s="35"/>
      <c r="K179" s="35"/>
    </row>
    <row r="180" spans="6:11" x14ac:dyDescent="0.2">
      <c r="F180" s="36"/>
      <c r="J180" s="35"/>
      <c r="K180" s="35"/>
    </row>
    <row r="181" spans="6:11" x14ac:dyDescent="0.2">
      <c r="F181" s="36"/>
      <c r="J181" s="35"/>
      <c r="K181" s="35"/>
    </row>
    <row r="182" spans="6:11" x14ac:dyDescent="0.2">
      <c r="F182" s="36"/>
      <c r="J182" s="35"/>
      <c r="K182" s="35"/>
    </row>
    <row r="183" spans="6:11" x14ac:dyDescent="0.2">
      <c r="F183" s="36"/>
      <c r="J183" s="35"/>
      <c r="K183" s="35"/>
    </row>
    <row r="184" spans="6:11" x14ac:dyDescent="0.2">
      <c r="F184" s="36"/>
      <c r="J184" s="35"/>
      <c r="K184" s="35"/>
    </row>
    <row r="185" spans="6:11" x14ac:dyDescent="0.2">
      <c r="F185" s="36"/>
      <c r="J185" s="35"/>
      <c r="K185" s="35"/>
    </row>
    <row r="186" spans="6:11" x14ac:dyDescent="0.2">
      <c r="J186" s="35"/>
      <c r="K186" s="35"/>
    </row>
    <row r="187" spans="6:11" x14ac:dyDescent="0.2">
      <c r="J187" s="35"/>
      <c r="K187" s="35"/>
    </row>
    <row r="188" spans="6:11" x14ac:dyDescent="0.2">
      <c r="J188" s="35"/>
      <c r="K188" s="35"/>
    </row>
    <row r="189" spans="6:11" x14ac:dyDescent="0.2">
      <c r="J189" s="35"/>
      <c r="K189" s="35"/>
    </row>
    <row r="190" spans="6:11" x14ac:dyDescent="0.2">
      <c r="J190" s="35"/>
      <c r="K190" s="35"/>
    </row>
    <row r="191" spans="6:11" x14ac:dyDescent="0.2">
      <c r="J191" s="35"/>
      <c r="K191" s="35"/>
    </row>
    <row r="192" spans="6:11" x14ac:dyDescent="0.2">
      <c r="J192" s="35"/>
      <c r="K192" s="35"/>
    </row>
    <row r="193" spans="10:11" x14ac:dyDescent="0.2">
      <c r="J193" s="35"/>
      <c r="K193" s="35"/>
    </row>
    <row r="194" spans="10:11" x14ac:dyDescent="0.2">
      <c r="J194" s="35"/>
      <c r="K194" s="35"/>
    </row>
    <row r="195" spans="10:11" x14ac:dyDescent="0.2">
      <c r="J195" s="35"/>
      <c r="K195" s="35"/>
    </row>
    <row r="196" spans="10:11" x14ac:dyDescent="0.2">
      <c r="J196" s="35"/>
      <c r="K196" s="35"/>
    </row>
    <row r="197" spans="10:11" x14ac:dyDescent="0.2">
      <c r="J197" s="35"/>
      <c r="K197" s="35"/>
    </row>
    <row r="198" spans="10:11" x14ac:dyDescent="0.2">
      <c r="J198" s="35"/>
      <c r="K198" s="35"/>
    </row>
    <row r="199" spans="10:11" x14ac:dyDescent="0.2">
      <c r="J199" s="35"/>
      <c r="K199" s="35"/>
    </row>
    <row r="200" spans="10:11" x14ac:dyDescent="0.2">
      <c r="J200" s="35"/>
      <c r="K200" s="35"/>
    </row>
    <row r="201" spans="10:11" x14ac:dyDescent="0.2">
      <c r="J201" s="35"/>
      <c r="K201" s="35"/>
    </row>
    <row r="202" spans="10:11" x14ac:dyDescent="0.2">
      <c r="J202" s="35"/>
      <c r="K202" s="35"/>
    </row>
    <row r="203" spans="10:11" x14ac:dyDescent="0.2">
      <c r="J203" s="35"/>
      <c r="K203" s="35"/>
    </row>
    <row r="204" spans="10:11" x14ac:dyDescent="0.2">
      <c r="J204" s="35"/>
      <c r="K204" s="35"/>
    </row>
    <row r="205" spans="10:11" x14ac:dyDescent="0.2">
      <c r="J205" s="35"/>
      <c r="K205" s="35"/>
    </row>
    <row r="206" spans="10:11" x14ac:dyDescent="0.2">
      <c r="J206" s="35"/>
      <c r="K206" s="35"/>
    </row>
    <row r="207" spans="10:11" x14ac:dyDescent="0.2">
      <c r="J207" s="35"/>
      <c r="K207" s="35"/>
    </row>
    <row r="208" spans="10:11" x14ac:dyDescent="0.2">
      <c r="J208" s="35"/>
      <c r="K208" s="35"/>
    </row>
    <row r="209" spans="10:11" x14ac:dyDescent="0.2">
      <c r="J209" s="35"/>
      <c r="K209" s="35"/>
    </row>
    <row r="210" spans="10:11" x14ac:dyDescent="0.2">
      <c r="J210" s="35"/>
      <c r="K210" s="35"/>
    </row>
    <row r="211" spans="10:11" x14ac:dyDescent="0.2">
      <c r="J211" s="35"/>
      <c r="K211" s="35"/>
    </row>
    <row r="212" spans="10:11" x14ac:dyDescent="0.2">
      <c r="J212" s="35"/>
      <c r="K212" s="35"/>
    </row>
    <row r="213" spans="10:11" x14ac:dyDescent="0.2">
      <c r="J213" s="35"/>
      <c r="K213" s="35"/>
    </row>
    <row r="214" spans="10:11" x14ac:dyDescent="0.2">
      <c r="J214" s="35"/>
      <c r="K214" s="35"/>
    </row>
    <row r="215" spans="10:11" x14ac:dyDescent="0.2">
      <c r="J215" s="35"/>
      <c r="K215" s="35"/>
    </row>
    <row r="216" spans="10:11" x14ac:dyDescent="0.2">
      <c r="J216" s="35"/>
      <c r="K216" s="35"/>
    </row>
    <row r="217" spans="10:11" x14ac:dyDescent="0.2">
      <c r="J217" s="35"/>
      <c r="K217" s="35"/>
    </row>
    <row r="218" spans="10:11" x14ac:dyDescent="0.2">
      <c r="J218" s="35"/>
      <c r="K218" s="35"/>
    </row>
    <row r="219" spans="10:11" x14ac:dyDescent="0.2">
      <c r="J219" s="35"/>
      <c r="K219" s="35"/>
    </row>
    <row r="220" spans="10:11" x14ac:dyDescent="0.2">
      <c r="J220" s="35"/>
      <c r="K220" s="35"/>
    </row>
    <row r="221" spans="10:11" x14ac:dyDescent="0.2">
      <c r="J221" s="35"/>
      <c r="K221" s="35"/>
    </row>
    <row r="222" spans="10:11" x14ac:dyDescent="0.2">
      <c r="J222" s="35"/>
      <c r="K222" s="35"/>
    </row>
    <row r="223" spans="10:11" x14ac:dyDescent="0.2">
      <c r="J223" s="35"/>
      <c r="K223" s="35"/>
    </row>
    <row r="224" spans="10:11" x14ac:dyDescent="0.2">
      <c r="J224" s="35"/>
      <c r="K224" s="35"/>
    </row>
    <row r="225" spans="10:11" x14ac:dyDescent="0.2">
      <c r="J225" s="35"/>
      <c r="K225" s="35"/>
    </row>
    <row r="226" spans="10:11" x14ac:dyDescent="0.2">
      <c r="J226" s="35"/>
      <c r="K226" s="35"/>
    </row>
    <row r="227" spans="10:11" x14ac:dyDescent="0.2">
      <c r="J227" s="35"/>
      <c r="K227" s="35"/>
    </row>
    <row r="228" spans="10:11" x14ac:dyDescent="0.2">
      <c r="J228" s="35"/>
      <c r="K228" s="35"/>
    </row>
    <row r="229" spans="10:11" x14ac:dyDescent="0.2">
      <c r="J229" s="35"/>
      <c r="K229" s="35"/>
    </row>
    <row r="230" spans="10:11" x14ac:dyDescent="0.2">
      <c r="J230" s="35"/>
      <c r="K230" s="35"/>
    </row>
    <row r="231" spans="10:11" x14ac:dyDescent="0.2">
      <c r="J231" s="35"/>
      <c r="K231" s="35"/>
    </row>
    <row r="232" spans="10:11" x14ac:dyDescent="0.2">
      <c r="J232" s="35"/>
      <c r="K232" s="35"/>
    </row>
    <row r="233" spans="10:11" x14ac:dyDescent="0.2">
      <c r="J233" s="35"/>
      <c r="K233" s="35"/>
    </row>
    <row r="234" spans="10:11" x14ac:dyDescent="0.2">
      <c r="J234" s="35"/>
      <c r="K234" s="35"/>
    </row>
    <row r="235" spans="10:11" x14ac:dyDescent="0.2">
      <c r="J235" s="35"/>
      <c r="K235" s="35"/>
    </row>
    <row r="236" spans="10:11" x14ac:dyDescent="0.2">
      <c r="J236" s="35"/>
      <c r="K236" s="35"/>
    </row>
    <row r="237" spans="10:11" x14ac:dyDescent="0.2">
      <c r="J237" s="35"/>
      <c r="K237" s="35"/>
    </row>
    <row r="238" spans="10:11" x14ac:dyDescent="0.2">
      <c r="J238" s="35"/>
      <c r="K238" s="35"/>
    </row>
    <row r="239" spans="10:11" x14ac:dyDescent="0.2">
      <c r="J239" s="35"/>
      <c r="K239" s="35"/>
    </row>
    <row r="240" spans="10:11" x14ac:dyDescent="0.2">
      <c r="J240" s="35"/>
      <c r="K240" s="35"/>
    </row>
    <row r="241" spans="6:11" x14ac:dyDescent="0.2">
      <c r="J241" s="35"/>
      <c r="K241" s="35"/>
    </row>
    <row r="242" spans="6:11" x14ac:dyDescent="0.2">
      <c r="J242" s="35"/>
      <c r="K242" s="35"/>
    </row>
    <row r="243" spans="6:11" x14ac:dyDescent="0.2">
      <c r="J243" s="35"/>
      <c r="K243" s="35"/>
    </row>
    <row r="244" spans="6:11" x14ac:dyDescent="0.2">
      <c r="J244" s="35"/>
      <c r="K244" s="35"/>
    </row>
    <row r="245" spans="6:11" x14ac:dyDescent="0.2">
      <c r="J245" s="35"/>
      <c r="K245" s="35"/>
    </row>
    <row r="246" spans="6:11" x14ac:dyDescent="0.2">
      <c r="J246" s="35"/>
      <c r="K246" s="35"/>
    </row>
    <row r="247" spans="6:11" x14ac:dyDescent="0.2">
      <c r="J247" s="35"/>
      <c r="K247" s="35"/>
    </row>
    <row r="248" spans="6:11" x14ac:dyDescent="0.2">
      <c r="J248" s="35"/>
      <c r="K248" s="35"/>
    </row>
    <row r="249" spans="6:11" x14ac:dyDescent="0.2">
      <c r="J249" s="35"/>
      <c r="K249" s="35"/>
    </row>
    <row r="250" spans="6:11" x14ac:dyDescent="0.2">
      <c r="F250" s="36"/>
      <c r="J250" s="35"/>
      <c r="K250" s="35"/>
    </row>
    <row r="251" spans="6:11" x14ac:dyDescent="0.2">
      <c r="F251" s="36"/>
      <c r="J251" s="35"/>
      <c r="K251" s="35"/>
    </row>
    <row r="252" spans="6:11" x14ac:dyDescent="0.2">
      <c r="F252" s="36"/>
      <c r="J252" s="35"/>
      <c r="K252" s="35"/>
    </row>
    <row r="253" spans="6:11" x14ac:dyDescent="0.2">
      <c r="F253" s="36"/>
      <c r="J253" s="35"/>
      <c r="K253" s="35"/>
    </row>
    <row r="254" spans="6:11" x14ac:dyDescent="0.2">
      <c r="F254" s="36"/>
      <c r="J254" s="35"/>
      <c r="K254" s="35"/>
    </row>
    <row r="255" spans="6:11" x14ac:dyDescent="0.2">
      <c r="F255" s="36"/>
      <c r="J255" s="35"/>
      <c r="K255" s="35"/>
    </row>
    <row r="256" spans="6:11" x14ac:dyDescent="0.2">
      <c r="F256" s="36"/>
      <c r="J256" s="35"/>
      <c r="K256" s="35"/>
    </row>
    <row r="257" spans="6:11" x14ac:dyDescent="0.2">
      <c r="F257" s="36"/>
      <c r="J257" s="35"/>
      <c r="K257" s="35"/>
    </row>
    <row r="258" spans="6:11" x14ac:dyDescent="0.2">
      <c r="J258" s="35"/>
      <c r="K258" s="35"/>
    </row>
    <row r="259" spans="6:11" x14ac:dyDescent="0.2">
      <c r="J259" s="35"/>
      <c r="K259" s="35"/>
    </row>
    <row r="260" spans="6:11" x14ac:dyDescent="0.2">
      <c r="J260" s="35"/>
      <c r="K260" s="35"/>
    </row>
  </sheetData>
  <sortState ref="B2:L250">
    <sortCondition ref="F2:F250"/>
    <sortCondition ref="G2:G250"/>
    <sortCondition ref="B2:B250"/>
    <sortCondition ref="E2:E250"/>
  </sortState>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G54"/>
  <sheetViews>
    <sheetView topLeftCell="B1" workbookViewId="0">
      <selection sqref="A1:B2"/>
    </sheetView>
  </sheetViews>
  <sheetFormatPr defaultRowHeight="12.75" x14ac:dyDescent="0.2"/>
  <cols>
    <col min="1" max="1" width="33.28515625" customWidth="1"/>
    <col min="2" max="2" width="31.140625" customWidth="1"/>
    <col min="3" max="3" width="28.140625" customWidth="1"/>
    <col min="4" max="4" width="29" customWidth="1"/>
    <col min="5" max="5" width="30.140625" customWidth="1"/>
    <col min="6" max="6" width="29.7109375" customWidth="1"/>
    <col min="7" max="7" width="34.140625" customWidth="1"/>
  </cols>
  <sheetData>
    <row r="1" spans="1:7" x14ac:dyDescent="0.2">
      <c r="A1" s="45" t="s">
        <v>16</v>
      </c>
      <c r="B1" s="45"/>
      <c r="C1" s="46" t="s">
        <v>0</v>
      </c>
      <c r="D1" s="46"/>
      <c r="E1" s="46"/>
      <c r="F1" s="46">
        <v>2015</v>
      </c>
      <c r="G1" s="46"/>
    </row>
    <row r="2" spans="1:7" x14ac:dyDescent="0.2">
      <c r="A2" s="45"/>
      <c r="B2" s="45"/>
      <c r="C2" s="46"/>
      <c r="D2" s="46"/>
      <c r="E2" s="46"/>
      <c r="F2" s="46"/>
      <c r="G2" s="46"/>
    </row>
    <row r="3" spans="1:7" ht="18.75" thickBot="1" x14ac:dyDescent="0.3">
      <c r="A3" s="1" t="s">
        <v>1</v>
      </c>
      <c r="B3" s="2" t="s">
        <v>2</v>
      </c>
      <c r="C3" s="1" t="s">
        <v>3</v>
      </c>
      <c r="D3" s="1" t="s">
        <v>4</v>
      </c>
      <c r="E3" s="1" t="s">
        <v>5</v>
      </c>
      <c r="F3" s="1" t="s">
        <v>6</v>
      </c>
      <c r="G3" s="1" t="s">
        <v>7</v>
      </c>
    </row>
    <row r="4" spans="1:7" ht="18" x14ac:dyDescent="0.25">
      <c r="A4" s="3">
        <v>1</v>
      </c>
      <c r="B4" s="3">
        <f t="shared" ref="B4:G4" si="0">A4+1</f>
        <v>2</v>
      </c>
      <c r="C4" s="3">
        <f t="shared" si="0"/>
        <v>3</v>
      </c>
      <c r="D4" s="3">
        <f t="shared" si="0"/>
        <v>4</v>
      </c>
      <c r="E4" s="3">
        <f t="shared" si="0"/>
        <v>5</v>
      </c>
      <c r="F4" s="3">
        <f t="shared" si="0"/>
        <v>6</v>
      </c>
      <c r="G4" s="3">
        <f t="shared" si="0"/>
        <v>7</v>
      </c>
    </row>
    <row r="5" spans="1:7" x14ac:dyDescent="0.2">
      <c r="A5" s="29" t="str">
        <f>IF(Data!$B2&gt;"", CONCATENATE(Data!$B2," ",Data!$J2,"-",Data!$K2," - ",Data!$E2), "")</f>
        <v xml:space="preserve">D 0-0am - </v>
      </c>
      <c r="B5" s="29" t="str">
        <f>IF(Data!$B10&gt;"", CONCATENATE(Data!$B10," ",Data!$J10,"-",Data!$K10," - ",Data!$E10), "")</f>
        <v/>
      </c>
      <c r="C5" s="29" t="str">
        <f>IF(Data!$B18&gt;"", CONCATENATE(Data!$B18," ",Data!$J18,"-",Data!$K18," - ",Data!$E18), "")</f>
        <v/>
      </c>
      <c r="D5" s="29" t="str">
        <f>IF(Data!$B26&gt;"", CONCATENATE(Data!$B26," ",Data!$J26,"-",Data!$K26," - ",Data!$E26), "")</f>
        <v/>
      </c>
      <c r="E5" s="29" t="str">
        <f>IF(Data!$B34&gt;"", CONCATENATE(Data!$B34," ",Data!$J34,"-",Data!$K34," - ",Data!$E34), "")</f>
        <v/>
      </c>
      <c r="F5" s="29" t="str">
        <f>IF(Data!$B42&gt;"", CONCATENATE(Data!$B42," ",Data!$J42,"-",Data!$K42," - ",Data!$E42), "")</f>
        <v/>
      </c>
      <c r="G5" s="29" t="str">
        <f>IF(Data!$B50&gt;"", CONCATENATE(Data!$B50," ",Data!$J50,"-",Data!$K50," - ",Data!$E50), "")</f>
        <v/>
      </c>
    </row>
    <row r="6" spans="1:7" x14ac:dyDescent="0.2">
      <c r="A6" s="29" t="str">
        <f>IF(Data!$B3&gt;"", CONCATENATE(Data!$B3," ",Data!$J3,"-",Data!$K3," - ",Data!$E3), "")</f>
        <v/>
      </c>
      <c r="B6" s="29" t="str">
        <f>IF(Data!$B11&gt;"", CONCATENATE(Data!$B11," ",Data!$J11,"-",Data!$K11," - ",Data!$E11), "")</f>
        <v/>
      </c>
      <c r="C6" s="29" t="str">
        <f>IF(Data!$B19&gt;"", CONCATENATE(Data!$B19," ",Data!$J19,"-",Data!$K19," - ",Data!$E19), "")</f>
        <v/>
      </c>
      <c r="D6" s="29" t="str">
        <f>IF(Data!$B27&gt;"", CONCATENATE(Data!$B27," ",Data!$J27,"-",Data!$K27," - ",Data!$E27), "")</f>
        <v/>
      </c>
      <c r="E6" s="29" t="str">
        <f>IF(Data!$B35&gt;"", CONCATENATE(Data!$B35," ",Data!$J35,"-",Data!$K35," - ",Data!$E35), "")</f>
        <v/>
      </c>
      <c r="F6" s="29" t="str">
        <f>IF(Data!$B43&gt;"", CONCATENATE(Data!$B43," ",Data!$J43,"-",Data!$K43," - ",Data!$E43), "")</f>
        <v/>
      </c>
      <c r="G6" s="29" t="str">
        <f>IF(Data!$B51&gt;"", CONCATENATE(Data!$B51," ",Data!$J51,"-",Data!$K51," - ",Data!$E51), "")</f>
        <v/>
      </c>
    </row>
    <row r="7" spans="1:7" x14ac:dyDescent="0.2">
      <c r="A7" s="29" t="str">
        <f>IF(Data!$B4&gt;"", CONCATENATE(Data!$B4," ",Data!$J4,"-",Data!$K4," - ",Data!$E4), "")</f>
        <v/>
      </c>
      <c r="B7" s="29" t="str">
        <f>IF(Data!$B12&gt;"", CONCATENATE(Data!$B12," ",Data!$J12,"-",Data!$K12," - ",Data!$E12), "")</f>
        <v/>
      </c>
      <c r="C7" s="29" t="str">
        <f>IF(Data!$B20&gt;"", CONCATENATE(Data!$B20," ",Data!$J20,"-",Data!$K20," - ",Data!$E20), "")</f>
        <v/>
      </c>
      <c r="D7" s="29" t="str">
        <f>IF(Data!$B28&gt;"", CONCATENATE(Data!$B28," ",Data!$J28,"-",Data!$K28," - ",Data!$E28), "")</f>
        <v/>
      </c>
      <c r="E7" s="29" t="str">
        <f>IF(Data!$B36&gt;"", CONCATENATE(Data!$B36," ",Data!$J36,"-",Data!$K36," - ",Data!$E36), "")</f>
        <v/>
      </c>
      <c r="F7" s="29" t="str">
        <f>IF(Data!$B44&gt;"", CONCATENATE(Data!$B44," ",Data!$J44,"-",Data!$K44," - ",Data!$E44), "")</f>
        <v/>
      </c>
      <c r="G7" s="29" t="str">
        <f>IF(Data!$B52&gt;"", CONCATENATE(Data!$B52," ",Data!$J52,"-",Data!$K52," - ",Data!$E52), "")</f>
        <v/>
      </c>
    </row>
    <row r="8" spans="1:7" x14ac:dyDescent="0.2">
      <c r="A8" s="29" t="str">
        <f>IF(Data!$B5&gt;"", CONCATENATE(Data!$B5," ",Data!$J5,"-",Data!$K5," - ",Data!$E5), "")</f>
        <v/>
      </c>
      <c r="B8" s="29" t="str">
        <f>IF(Data!$B13&gt;"", CONCATENATE(Data!$B13," ",Data!$J13,"-",Data!$K13," - ",Data!$E13), "")</f>
        <v/>
      </c>
      <c r="C8" s="29" t="str">
        <f>IF(Data!$B21&gt;"", CONCATENATE(Data!$B21," ",Data!$J21,"-",Data!$K21," - ",Data!$E21), "")</f>
        <v/>
      </c>
      <c r="D8" s="29" t="str">
        <f>IF(Data!$B29&gt;"", CONCATENATE(Data!$B29," ",Data!$J29,"-",Data!$K29," - ",Data!$E29), "")</f>
        <v/>
      </c>
      <c r="E8" s="29" t="str">
        <f>IF(Data!$B37&gt;"", CONCATENATE(Data!$B37," ",Data!$J37,"-",Data!$K37," - ",Data!$E37), "")</f>
        <v/>
      </c>
      <c r="F8" s="29" t="str">
        <f>IF(Data!$B45&gt;"", CONCATENATE(Data!$B45," ",Data!$J45,"-",Data!$K45," - ",Data!$E45), "")</f>
        <v/>
      </c>
      <c r="G8" s="29" t="str">
        <f>IF(Data!$B53&gt;"", CONCATENATE(Data!$B53," ",Data!$J53,"-",Data!$K53," - ",Data!$E53), "")</f>
        <v/>
      </c>
    </row>
    <row r="9" spans="1:7" x14ac:dyDescent="0.2">
      <c r="A9" s="29" t="str">
        <f>IF(Data!$B6&gt;"", CONCATENATE(Data!$B6," ",Data!$J6,"-",Data!$K6," - ",Data!$E6), "")</f>
        <v/>
      </c>
      <c r="B9" s="29" t="str">
        <f>IF(Data!$B14&gt;"", CONCATENATE(Data!$B14," ",Data!$J14,"-",Data!$K14," - ",Data!$E14), "")</f>
        <v/>
      </c>
      <c r="C9" s="29" t="str">
        <f>IF(Data!$B22&gt;"", CONCATENATE(Data!$B22," ",Data!$J22,"-",Data!$K22," - ",Data!$E22), "")</f>
        <v/>
      </c>
      <c r="D9" s="29" t="str">
        <f>IF(Data!$B30&gt;"", CONCATENATE(Data!$B30," ",Data!$J30,"-",Data!$K30," - ",Data!$E30), "")</f>
        <v/>
      </c>
      <c r="E9" s="29" t="str">
        <f>IF(Data!$B38&gt;"", CONCATENATE(Data!$B38," ",Data!$J38,"-",Data!$K38," - ",Data!$E38), "")</f>
        <v/>
      </c>
      <c r="F9" s="29" t="str">
        <f>IF(Data!$B46&gt;"", CONCATENATE(Data!$B46," ",Data!$J46,"-",Data!$K46," - ",Data!$E46), "")</f>
        <v/>
      </c>
      <c r="G9" s="29" t="str">
        <f>IF(Data!$B54&gt;"", CONCATENATE(Data!$B54," ",Data!$J54,"-",Data!$K54," - ",Data!$E54), "")</f>
        <v/>
      </c>
    </row>
    <row r="10" spans="1:7" x14ac:dyDescent="0.2">
      <c r="A10" s="29" t="str">
        <f>IF(Data!$B7&gt;"", CONCATENATE(Data!$B7," ",Data!$J7,"-",Data!$K7," - ",Data!$E7), "")</f>
        <v/>
      </c>
      <c r="B10" s="29" t="str">
        <f>IF(Data!$B15&gt;"", CONCATENATE(Data!$B15," ",Data!$J15,"-",Data!$K15," - ",Data!$E15), "")</f>
        <v/>
      </c>
      <c r="C10" s="29" t="str">
        <f>IF(Data!$B23&gt;"", CONCATENATE(Data!$B23," ",Data!$J23,"-",Data!$K23," - ",Data!$E23), "")</f>
        <v/>
      </c>
      <c r="D10" s="29" t="str">
        <f>IF(Data!$B31&gt;"", CONCATENATE(Data!$B31," ",Data!$J31,"-",Data!$K31," - ",Data!$E31), "")</f>
        <v/>
      </c>
      <c r="E10" s="29" t="str">
        <f>IF(Data!$B39&gt;"", CONCATENATE(Data!$B39," ",Data!$J39,"-",Data!$K39," - ",Data!$E39), "")</f>
        <v/>
      </c>
      <c r="F10" s="29" t="str">
        <f>IF(Data!$B47&gt;"", CONCATENATE(Data!$B47," ",Data!$J47,"-",Data!$K47," - ",Data!$E47), "")</f>
        <v/>
      </c>
      <c r="G10" s="29" t="str">
        <f>IF(Data!$B55&gt;"", CONCATENATE(Data!$B55," ",Data!$J55,"-",Data!$K55," - ",Data!$E55), "")</f>
        <v/>
      </c>
    </row>
    <row r="11" spans="1:7" ht="12.75" customHeight="1" x14ac:dyDescent="0.2">
      <c r="A11" s="29" t="str">
        <f>IF(Data!$B8&gt;"", CONCATENATE(Data!$B8," ",Data!$J8,"-",Data!$K8," - ",Data!$E8), "")</f>
        <v/>
      </c>
      <c r="B11" s="29" t="str">
        <f>IF(Data!$B16&gt;"", CONCATENATE(Data!$B16," ",Data!$J16,"-",Data!$K16," - ",Data!$E16), "")</f>
        <v/>
      </c>
      <c r="C11" s="29" t="str">
        <f>IF(Data!$B24&gt;"", CONCATENATE(Data!$B24," ",Data!$J24,"-",Data!$K24," - ",Data!$E24), "")</f>
        <v/>
      </c>
      <c r="D11" s="29" t="str">
        <f>IF(Data!$B32&gt;"", CONCATENATE(Data!$B32," ",Data!$J32,"-",Data!$K32," - ",Data!$E32), "")</f>
        <v/>
      </c>
      <c r="E11" s="29" t="str">
        <f>IF(Data!$B40&gt;"", CONCATENATE(Data!$B40," ",Data!$J40,"-",Data!$K40," - ",Data!$E40), "")</f>
        <v/>
      </c>
      <c r="F11" s="29" t="str">
        <f>IF(Data!$B48&gt;"", CONCATENATE(Data!$B48," ",Data!$J48,"-",Data!$K48," - ",Data!$E48), "")</f>
        <v/>
      </c>
      <c r="G11" s="29" t="str">
        <f>IF(Data!$B56&gt;"", CONCATENATE(Data!$B56," ",Data!$J56,"-",Data!$K56," - ",Data!$E56), "")</f>
        <v/>
      </c>
    </row>
    <row r="12" spans="1:7" ht="12.75" customHeight="1" x14ac:dyDescent="0.2">
      <c r="A12" s="29" t="str">
        <f>IF(Data!$B9&gt;"", CONCATENATE(Data!$B9," ",Data!$J9,"-",Data!$K9," - ",Data!$E9), "")</f>
        <v/>
      </c>
      <c r="B12" s="29" t="str">
        <f>IF(Data!$B17&gt;"", CONCATENATE(Data!$B17," ",Data!$J17,"-",Data!$K17," - ",Data!$E17), "")</f>
        <v/>
      </c>
      <c r="C12" s="29" t="str">
        <f>IF(Data!$B25&gt;"", CONCATENATE(Data!$B25," ",Data!$J25,"-",Data!$K25," - ",Data!$E25), "")</f>
        <v/>
      </c>
      <c r="D12" s="29" t="str">
        <f>IF(Data!$B33&gt;"", CONCATENATE(Data!$B33," ",Data!$J33,"-",Data!$K33," - ",Data!$E33), "")</f>
        <v/>
      </c>
      <c r="E12" s="29" t="str">
        <f>IF(Data!$B41&gt;"", CONCATENATE(Data!$B41," ",Data!$J41,"-",Data!$K41," - ",Data!$E41), "")</f>
        <v/>
      </c>
      <c r="F12" s="29" t="str">
        <f>IF(Data!$B49&gt;"", CONCATENATE(Data!$B49," ",Data!$J49,"-",Data!$K49," - ",Data!$E49), "")</f>
        <v/>
      </c>
      <c r="G12" s="29" t="str">
        <f>IF(Data!$B57&gt;"", CONCATENATE(Data!$B57," ",Data!$J57,"-",Data!$K57," - ",Data!$E57), "")</f>
        <v/>
      </c>
    </row>
    <row r="13" spans="1:7" ht="13.5" thickBot="1" x14ac:dyDescent="0.25">
      <c r="A13" s="34"/>
      <c r="B13" s="7" t="s">
        <v>9</v>
      </c>
      <c r="C13" s="8"/>
      <c r="D13" s="8" t="s">
        <v>10</v>
      </c>
      <c r="E13" s="9" t="s">
        <v>14</v>
      </c>
      <c r="F13" s="10"/>
      <c r="G13" s="11" t="s">
        <v>11</v>
      </c>
    </row>
    <row r="14" spans="1:7" ht="18" x14ac:dyDescent="0.25">
      <c r="A14" s="3">
        <f>G4+1</f>
        <v>8</v>
      </c>
      <c r="B14" s="12">
        <f t="shared" ref="B14:G14" si="1">A14+1</f>
        <v>9</v>
      </c>
      <c r="C14" s="3">
        <f t="shared" si="1"/>
        <v>10</v>
      </c>
      <c r="D14" s="12">
        <f t="shared" si="1"/>
        <v>11</v>
      </c>
      <c r="E14" s="3">
        <f t="shared" si="1"/>
        <v>12</v>
      </c>
      <c r="F14" s="12">
        <f t="shared" si="1"/>
        <v>13</v>
      </c>
      <c r="G14" s="3">
        <f t="shared" si="1"/>
        <v>14</v>
      </c>
    </row>
    <row r="15" spans="1:7" x14ac:dyDescent="0.2">
      <c r="A15" s="29" t="str">
        <f>IF(Data!$B58&gt;"", CONCATENATE(Data!$B58," ",Data!$J58,"-",Data!$K58," - ",Data!$E58), "")</f>
        <v/>
      </c>
      <c r="B15" s="29" t="str">
        <f>IF(Data!$B66&gt;"", CONCATENATE(Data!$B66," ",Data!$J66,"-",Data!$K66," - ",Data!$E66), "")</f>
        <v/>
      </c>
      <c r="C15" s="29" t="str">
        <f>IF(Data!$B74&gt;"", CONCATENATE(Data!$B74," ",Data!$J74,"-",Data!$K74," - ",Data!$E74), "")</f>
        <v/>
      </c>
      <c r="D15" s="29" t="str">
        <f>IF(Data!$B82&gt;"", CONCATENATE(Data!$B82," ",Data!$J82,"-",Data!$K82," - ",Data!$E82), "")</f>
        <v/>
      </c>
      <c r="E15" s="29" t="str">
        <f>IF(Data!$B90&gt;"", CONCATENATE(Data!$B90," ",Data!$J90,"-",Data!$K90," - ",Data!$E90), "")</f>
        <v/>
      </c>
      <c r="F15" s="29" t="str">
        <f>IF(Data!$B98&gt;"", CONCATENATE(Data!$B98," ",Data!$J98,"-",Data!$K98," - ",Data!$E98), "")</f>
        <v/>
      </c>
      <c r="G15" s="29" t="str">
        <f>IF(Data!$B106&gt;"", CONCATENATE(Data!$B106," ",Data!$J106,"-",Data!$K106," - ",Data!$E106), "")</f>
        <v/>
      </c>
    </row>
    <row r="16" spans="1:7" x14ac:dyDescent="0.2">
      <c r="A16" s="29" t="str">
        <f>IF(Data!$B59&gt;"", CONCATENATE(Data!$B59," ",Data!$J59,"-",Data!$K59," - ",Data!$E59), "")</f>
        <v/>
      </c>
      <c r="B16" s="29" t="str">
        <f>IF(Data!$B67&gt;"", CONCATENATE(Data!$B67," ",Data!$J67,"-",Data!$K67," - ",Data!$E67), "")</f>
        <v/>
      </c>
      <c r="C16" s="29" t="str">
        <f>IF(Data!$B75&gt;"", CONCATENATE(Data!$B75," ",Data!$J75,"-",Data!$K75," - ",Data!$E75), "")</f>
        <v/>
      </c>
      <c r="D16" s="29" t="str">
        <f>IF(Data!$B83&gt;"", CONCATENATE(Data!$B83," ",Data!$J83,"-",Data!$K83," - ",Data!$E83), "")</f>
        <v/>
      </c>
      <c r="E16" s="29" t="str">
        <f>IF(Data!$B91&gt;"", CONCATENATE(Data!$B91," ",Data!$J91,"-",Data!$K91," - ",Data!$E91), "")</f>
        <v/>
      </c>
      <c r="F16" s="29" t="str">
        <f>IF(Data!$B99&gt;"", CONCATENATE(Data!$B99," ",Data!$J99,"-",Data!$K99," - ",Data!$E99), "")</f>
        <v/>
      </c>
      <c r="G16" s="29" t="str">
        <f>IF(Data!$B107&gt;"", CONCATENATE(Data!$B107," ",Data!$J107,"-",Data!$K107," - ",Data!$E107), "")</f>
        <v/>
      </c>
    </row>
    <row r="17" spans="1:7" x14ac:dyDescent="0.2">
      <c r="A17" s="29" t="str">
        <f>IF(Data!$B60&gt;"", CONCATENATE(Data!$B60," ",Data!$J60,"-",Data!$K60," - ",Data!$E60), "")</f>
        <v/>
      </c>
      <c r="B17" s="29" t="str">
        <f>IF(Data!$B68&gt;"", CONCATENATE(Data!$B68," ",Data!$J68,"-",Data!$K68," - ",Data!$E68), "")</f>
        <v/>
      </c>
      <c r="C17" s="29" t="str">
        <f>IF(Data!$B76&gt;"", CONCATENATE(Data!$B76," ",Data!$J76,"-",Data!$K76," - ",Data!$E76), "")</f>
        <v/>
      </c>
      <c r="D17" s="29" t="str">
        <f>IF(Data!$B84&gt;"", CONCATENATE(Data!$B84," ",Data!$J84,"-",Data!$K84," - ",Data!$E84), "")</f>
        <v/>
      </c>
      <c r="E17" s="29" t="str">
        <f>IF(Data!$B92&gt;"", CONCATENATE(Data!$B92," ",Data!$J92,"-",Data!$K92," - ",Data!$E92), "")</f>
        <v/>
      </c>
      <c r="F17" s="29" t="str">
        <f>IF(Data!$B100&gt;"", CONCATENATE(Data!$B100," ",Data!$J100,"-",Data!$K100," - ",Data!$E100), "")</f>
        <v/>
      </c>
      <c r="G17" s="29" t="str">
        <f>IF(Data!$B108&gt;"", CONCATENATE(Data!$B108," ",Data!$J108,"-",Data!$K108," - ",Data!$E108), "")</f>
        <v/>
      </c>
    </row>
    <row r="18" spans="1:7" x14ac:dyDescent="0.2">
      <c r="A18" s="29" t="str">
        <f>IF(Data!$B61&gt;"", CONCATENATE(Data!$B61," ",Data!$J61,"-",Data!$K61," - ",Data!$E61), "")</f>
        <v/>
      </c>
      <c r="B18" s="29" t="str">
        <f>IF(Data!$B69&gt;"", CONCATENATE(Data!$B69," ",Data!$J69,"-",Data!$K69," - ",Data!$E69), "")</f>
        <v/>
      </c>
      <c r="C18" s="29" t="str">
        <f>IF(Data!$B77&gt;"", CONCATENATE(Data!$B77," ",Data!$J77,"-",Data!$K77," - ",Data!$E77), "")</f>
        <v/>
      </c>
      <c r="D18" s="29" t="str">
        <f>IF(Data!$B85&gt;"", CONCATENATE(Data!$B85," ",Data!$J85,"-",Data!$K85," - ",Data!$E85), "")</f>
        <v/>
      </c>
      <c r="E18" s="29" t="str">
        <f>IF(Data!$B93&gt;"", CONCATENATE(Data!$B93," ",Data!$J93,"-",Data!$K93," - ",Data!$E93), "")</f>
        <v/>
      </c>
      <c r="F18" s="29" t="str">
        <f>IF(Data!$B101&gt;"", CONCATENATE(Data!$B101," ",Data!$J101,"-",Data!$K101," - ",Data!$E101), "")</f>
        <v/>
      </c>
      <c r="G18" s="29" t="str">
        <f>IF(Data!$B109&gt;"", CONCATENATE(Data!$B109," ",Data!$J109,"-",Data!$K109," - ",Data!$E109), "")</f>
        <v/>
      </c>
    </row>
    <row r="19" spans="1:7" x14ac:dyDescent="0.2">
      <c r="A19" s="29" t="str">
        <f>IF(Data!$B62&gt;"", CONCATENATE(Data!$B62," ",Data!$J62,"-",Data!$K62," - ",Data!$E62), "")</f>
        <v/>
      </c>
      <c r="B19" s="29" t="str">
        <f>IF(Data!$B70&gt;"", CONCATENATE(Data!$B70," ",Data!$J70,"-",Data!$K70," - ",Data!$E70), "")</f>
        <v/>
      </c>
      <c r="C19" s="29" t="str">
        <f>IF(Data!$B78&gt;"", CONCATENATE(Data!$B78," ",Data!$J78,"-",Data!$K78," - ",Data!$E78), "")</f>
        <v/>
      </c>
      <c r="D19" s="29" t="str">
        <f>IF(Data!$B86&gt;"", CONCATENATE(Data!$B86," ",Data!$J86,"-",Data!$K86," - ",Data!$E86), "")</f>
        <v/>
      </c>
      <c r="E19" s="29" t="str">
        <f>IF(Data!$B94&gt;"", CONCATENATE(Data!$B94," ",Data!$J94,"-",Data!$K94," - ",Data!$E94), "")</f>
        <v/>
      </c>
      <c r="F19" s="29" t="str">
        <f>IF(Data!$B102&gt;"", CONCATENATE(Data!$B102," ",Data!$J102,"-",Data!$K102," - ",Data!$E102), "")</f>
        <v/>
      </c>
      <c r="G19" s="29" t="str">
        <f>IF(Data!$B110&gt;"", CONCATENATE(Data!$B110," ",Data!$J110,"-",Data!$K110," - ",Data!$E110), "")</f>
        <v/>
      </c>
    </row>
    <row r="20" spans="1:7" x14ac:dyDescent="0.2">
      <c r="A20" s="29" t="str">
        <f>IF(Data!$B63&gt;"", CONCATENATE(Data!$B63," ",Data!$J63,"-",Data!$K63," - ",Data!$E63), "")</f>
        <v/>
      </c>
      <c r="B20" s="29" t="str">
        <f>IF(Data!$B71&gt;"", CONCATENATE(Data!$B71," ",Data!$J71,"-",Data!$K71," - ",Data!$E71), "")</f>
        <v/>
      </c>
      <c r="C20" s="29" t="str">
        <f>IF(Data!$B79&gt;"", CONCATENATE(Data!$B79," ",Data!$J79,"-",Data!$K79," - ",Data!$E79), "")</f>
        <v/>
      </c>
      <c r="D20" s="29" t="str">
        <f>IF(Data!$B87&gt;"", CONCATENATE(Data!$B87," ",Data!$J87,"-",Data!$K87," - ",Data!$E87), "")</f>
        <v/>
      </c>
      <c r="E20" s="29" t="str">
        <f>IF(Data!$B95&gt;"", CONCATENATE(Data!$B95," ",Data!$J95,"-",Data!$K95," - ",Data!$E95), "")</f>
        <v/>
      </c>
      <c r="F20" s="29" t="str">
        <f>IF(Data!$B103&gt;"", CONCATENATE(Data!$B103," ",Data!$J103,"-",Data!$K103," - ",Data!$E103), "")</f>
        <v/>
      </c>
      <c r="G20" s="29" t="str">
        <f>IF(Data!$B111&gt;"", CONCATENATE(Data!$B111," ",Data!$J111,"-",Data!$K111," - ",Data!$E111), "")</f>
        <v/>
      </c>
    </row>
    <row r="21" spans="1:7" ht="12.75" customHeight="1" x14ac:dyDescent="0.2">
      <c r="A21" s="29" t="str">
        <f>IF(Data!$B64&gt;"", CONCATENATE(Data!$B64," ",Data!$J64,"-",Data!$K64," - ",Data!$E64), "")</f>
        <v/>
      </c>
      <c r="B21" s="29" t="str">
        <f>IF(Data!$B72&gt;"", CONCATENATE(Data!$B72," ",Data!$J72,"-",Data!$K72," - ",Data!$E72), "")</f>
        <v/>
      </c>
      <c r="C21" s="29" t="str">
        <f>IF(Data!$B80&gt;"", CONCATENATE(Data!$B80," ",Data!$J80,"-",Data!$K80," - ",Data!$E80), "")</f>
        <v/>
      </c>
      <c r="D21" s="29" t="str">
        <f>IF(Data!$B88&gt;"", CONCATENATE(Data!$B88," ",Data!$J88,"-",Data!$K88," - ",Data!$E88), "")</f>
        <v/>
      </c>
      <c r="E21" s="29" t="str">
        <f>IF(Data!$B96&gt;"", CONCATENATE(Data!$B96," ",Data!$J96,"-",Data!$K96," - ",Data!$E96), "")</f>
        <v/>
      </c>
      <c r="F21" s="29" t="str">
        <f>IF(Data!$B104&gt;"", CONCATENATE(Data!$B104," ",Data!$J104,"-",Data!$K104," - ",Data!$E104), "")</f>
        <v/>
      </c>
      <c r="G21" s="29" t="str">
        <f>IF(Data!$B112&gt;"", CONCATENATE(Data!$B112," ",Data!$J112,"-",Data!$K112," - ",Data!$E112), "")</f>
        <v/>
      </c>
    </row>
    <row r="22" spans="1:7" x14ac:dyDescent="0.2">
      <c r="A22" s="29" t="str">
        <f>IF(Data!$B65&gt;"", CONCATENATE(Data!$B65," ",Data!$J65,"-",Data!$K65," - ",Data!$E65), "")</f>
        <v/>
      </c>
      <c r="B22" s="29" t="str">
        <f>IF(Data!$B73&gt;"", CONCATENATE(Data!$B73," ",Data!$J73,"-",Data!$K73," - ",Data!$E73), "")</f>
        <v/>
      </c>
      <c r="C22" s="29" t="str">
        <f>IF(Data!$B81&gt;"", CONCATENATE(Data!$B81," ",Data!$J81,"-",Data!$K81," - ",Data!$E81), "")</f>
        <v/>
      </c>
      <c r="D22" s="29" t="str">
        <f>IF(Data!$B89&gt;"", CONCATENATE(Data!$B89," ",Data!$J89,"-",Data!$K89," - ",Data!$E89), "")</f>
        <v/>
      </c>
      <c r="E22" s="29" t="str">
        <f>IF(Data!$B97&gt;"", CONCATENATE(Data!$B97," ",Data!$J97,"-",Data!$K97," - ",Data!$E97), "")</f>
        <v/>
      </c>
      <c r="F22" s="29" t="str">
        <f>IF(Data!$B105&gt;"", CONCATENATE(Data!$B105," ",Data!$J105,"-",Data!$K105," - ",Data!$E105), "")</f>
        <v/>
      </c>
      <c r="G22" s="29" t="str">
        <f>IF(Data!$B113&gt;"", CONCATENATE(Data!$B113," ",Data!$J113,"-",Data!$K113," - ",Data!$E113), "")</f>
        <v/>
      </c>
    </row>
    <row r="23" spans="1:7" ht="14.25" thickBot="1" x14ac:dyDescent="0.3">
      <c r="A23" s="13" t="s">
        <v>12</v>
      </c>
      <c r="B23" s="7" t="s">
        <v>9</v>
      </c>
      <c r="C23" s="8"/>
      <c r="D23" s="8" t="s">
        <v>10</v>
      </c>
      <c r="E23" s="9" t="s">
        <v>15</v>
      </c>
      <c r="F23" s="10"/>
      <c r="G23" s="11" t="s">
        <v>11</v>
      </c>
    </row>
    <row r="24" spans="1:7" ht="18" x14ac:dyDescent="0.25">
      <c r="A24" s="3">
        <f>G14+1</f>
        <v>15</v>
      </c>
      <c r="B24" s="3">
        <f t="shared" ref="B24:G24" si="2">A24+1</f>
        <v>16</v>
      </c>
      <c r="C24" s="3">
        <f t="shared" si="2"/>
        <v>17</v>
      </c>
      <c r="D24" s="3">
        <f t="shared" si="2"/>
        <v>18</v>
      </c>
      <c r="E24" s="3">
        <f t="shared" si="2"/>
        <v>19</v>
      </c>
      <c r="F24" s="3">
        <f t="shared" si="2"/>
        <v>20</v>
      </c>
      <c r="G24" s="3">
        <f t="shared" si="2"/>
        <v>21</v>
      </c>
    </row>
    <row r="25" spans="1:7" x14ac:dyDescent="0.2">
      <c r="A25" s="29" t="str">
        <f>IF(Data!$B114&gt;"", CONCATENATE(Data!$B114," ",Data!$J114,"-",Data!$K114," - ",Data!$E114), "")</f>
        <v/>
      </c>
      <c r="B25" s="29" t="str">
        <f>IF(Data!$B122&gt;"", CONCATENATE(Data!$B122," ",Data!$J122,"-",Data!$K122," - ",Data!$E122), "")</f>
        <v/>
      </c>
      <c r="C25" s="29" t="str">
        <f>IF(Data!$B130&gt;"", CONCATENATE(Data!$B130," ",Data!$J130,"-",Data!$K130," - ",Data!$E130), "")</f>
        <v/>
      </c>
      <c r="D25" s="29" t="str">
        <f>IF(Data!$B138&gt;"", CONCATENATE(Data!$B138," ",Data!$J138,"-",Data!$K138," - ",Data!$E138), "")</f>
        <v/>
      </c>
      <c r="E25" s="29" t="str">
        <f>IF(Data!$B146&gt;"", CONCATENATE(Data!$B146," ",Data!$J146,"-",Data!$K146," - ",Data!$E146), "")</f>
        <v/>
      </c>
      <c r="F25" s="29" t="str">
        <f>IF(Data!$B154&gt;"", CONCATENATE(Data!$B154," ",Data!$J154,"-",Data!$K154," - ",Data!$E154), "")</f>
        <v/>
      </c>
      <c r="G25" s="29" t="str">
        <f>IF(Data!$B162&gt;"", CONCATENATE(Data!$B162," ",Data!$J162,"\-",Data!$K162," - ",Data!$E162), "")</f>
        <v/>
      </c>
    </row>
    <row r="26" spans="1:7" x14ac:dyDescent="0.2">
      <c r="A26" s="29" t="str">
        <f>IF(Data!$B115&gt;"", CONCATENATE(Data!$B115," ",Data!$J115,"-",Data!$K115," - ",Data!$E115), "")</f>
        <v/>
      </c>
      <c r="B26" s="29" t="str">
        <f>IF(Data!$B123&gt;"", CONCATENATE(Data!$B123," ",Data!$J123,"-",Data!$K123," - ",Data!$E123), "")</f>
        <v/>
      </c>
      <c r="C26" s="29" t="str">
        <f>IF(Data!$B131&gt;"", CONCATENATE(Data!$B131," ",Data!$J131,"-",Data!$K131," - ",Data!$E131), "")</f>
        <v/>
      </c>
      <c r="D26" s="29" t="str">
        <f>IF(Data!$B139&gt;"", CONCATENATE(Data!$B139," ",Data!$J139,"-",Data!$K139," - ",Data!$E139), "")</f>
        <v/>
      </c>
      <c r="E26" s="29" t="str">
        <f>IF(Data!$B147&gt;"", CONCATENATE(Data!$B147," ",Data!$J147,"-",Data!$K147," - ",Data!$E147), "")</f>
        <v/>
      </c>
      <c r="F26" s="29" t="str">
        <f>IF(Data!$B155&gt;"", CONCATENATE(Data!$B155," ",Data!$J155,"-",Data!$K155," - ",Data!$E155), "")</f>
        <v/>
      </c>
      <c r="G26" s="29" t="str">
        <f>IF(Data!$B163&gt;"", CONCATENATE(Data!$B163," ",Data!$J163,"\-",Data!$K163," - ",Data!$E163), "")</f>
        <v/>
      </c>
    </row>
    <row r="27" spans="1:7" x14ac:dyDescent="0.2">
      <c r="A27" s="29" t="str">
        <f>IF(Data!$B116&gt;"", CONCATENATE(Data!$B116," ",Data!$J116,"-",Data!$K116," - ",Data!$E116), "")</f>
        <v/>
      </c>
      <c r="B27" s="29" t="str">
        <f>IF(Data!$B124&gt;"", CONCATENATE(Data!$B124," ",Data!$J124,"-",Data!$K124," - ",Data!$E124), "")</f>
        <v/>
      </c>
      <c r="C27" s="29" t="str">
        <f>IF(Data!$B132&gt;"", CONCATENATE(Data!$B132," ",Data!$J132,"-",Data!$K132," - ",Data!$E132), "")</f>
        <v/>
      </c>
      <c r="D27" s="29" t="str">
        <f>IF(Data!$B140&gt;"", CONCATENATE(Data!$B140," ",Data!$J140,"-",Data!$K140," - ",Data!$E140), "")</f>
        <v/>
      </c>
      <c r="E27" s="29" t="str">
        <f>IF(Data!$B148&gt;"", CONCATENATE(Data!$B148," ",Data!$J148,"-",Data!$K148," - ",Data!$E148), "")</f>
        <v/>
      </c>
      <c r="F27" s="29" t="str">
        <f>IF(Data!$B156&gt;"", CONCATENATE(Data!$B156," ",Data!$J156,"-",Data!$K156," - ",Data!$E156), "")</f>
        <v/>
      </c>
      <c r="G27" s="29" t="str">
        <f>IF(Data!$B164&gt;"", CONCATENATE(Data!$B164," ",Data!$J164,"\-",Data!$K164," - ",Data!$E164), "")</f>
        <v/>
      </c>
    </row>
    <row r="28" spans="1:7" x14ac:dyDescent="0.2">
      <c r="A28" s="29" t="str">
        <f>IF(Data!$B117&gt;"", CONCATENATE(Data!$B117," ",Data!$J117,"-",Data!$K117," - ",Data!$E117), "")</f>
        <v/>
      </c>
      <c r="B28" s="29" t="str">
        <f>IF(Data!$B125&gt;"", CONCATENATE(Data!$B125," ",Data!$J125,"-",Data!$K125," - ",Data!$E125), "")</f>
        <v/>
      </c>
      <c r="C28" s="29" t="str">
        <f>IF(Data!$B133&gt;"", CONCATENATE(Data!$B133," ",Data!$J133,"-",Data!$K133," - ",Data!$E133), "")</f>
        <v/>
      </c>
      <c r="D28" s="29" t="str">
        <f>IF(Data!$B141&gt;"", CONCATENATE(Data!$B141," ",Data!$J141,"-",Data!$K141," - ",Data!$E141), "")</f>
        <v/>
      </c>
      <c r="E28" s="29" t="str">
        <f>IF(Data!$B149&gt;"", CONCATENATE(Data!$B149," ",Data!$J149,"-",Data!$K149," - ",Data!$E149), "")</f>
        <v/>
      </c>
      <c r="F28" s="29" t="str">
        <f>IF(Data!$B157&gt;"", CONCATENATE(Data!$B157," ",Data!$J157,"-",Data!$K157," - ",Data!$E157), "")</f>
        <v/>
      </c>
      <c r="G28" s="29" t="str">
        <f>IF(Data!$B165&gt;"", CONCATENATE(Data!$B165," ",Data!$J165,"\-",Data!$K165," - ",Data!$E165), "")</f>
        <v/>
      </c>
    </row>
    <row r="29" spans="1:7" x14ac:dyDescent="0.2">
      <c r="A29" s="29" t="str">
        <f>IF(Data!$B118&gt;"", CONCATENATE(Data!$B118," ",Data!$J118,"-",Data!$K118," - ",Data!$E118), "")</f>
        <v/>
      </c>
      <c r="B29" s="29" t="str">
        <f>IF(Data!$B126&gt;"", CONCATENATE(Data!$B126," ",Data!$J126,"-",Data!$K126," - ",Data!$E126), "")</f>
        <v/>
      </c>
      <c r="C29" s="29" t="str">
        <f>IF(Data!$B134&gt;"", CONCATENATE(Data!$B134," ",Data!$J134,"-",Data!$K134," - ",Data!$E134), "")</f>
        <v/>
      </c>
      <c r="D29" s="29" t="str">
        <f>IF(Data!$B142&gt;"", CONCATENATE(Data!$B142," ",Data!$J142,"-",Data!$K142," - ",Data!$E142), "")</f>
        <v/>
      </c>
      <c r="E29" s="29" t="str">
        <f>IF(Data!$B150&gt;"", CONCATENATE(Data!$B150," ",Data!$J150,"-",Data!$K150," - ",Data!$E150), "")</f>
        <v/>
      </c>
      <c r="F29" s="29" t="str">
        <f>IF(Data!$B158&gt;"", CONCATENATE(Data!$B158," ",Data!$J158,"-",Data!$K158," - ",Data!$E158), "")</f>
        <v/>
      </c>
      <c r="G29" s="29" t="str">
        <f>IF(Data!$B166&gt;"", CONCATENATE(Data!$B166," ",Data!$J166,"\-",Data!$K166," - ",Data!$E166), "")</f>
        <v/>
      </c>
    </row>
    <row r="30" spans="1:7" x14ac:dyDescent="0.2">
      <c r="A30" s="29" t="str">
        <f>IF(Data!$B119&gt;"", CONCATENATE(Data!$B119," ",Data!$J119,"-",Data!$K119," - ",Data!$E119), "")</f>
        <v/>
      </c>
      <c r="B30" s="29" t="str">
        <f>IF(Data!$B127&gt;"", CONCATENATE(Data!$B127," ",Data!$J127,"-",Data!$K127," - ",Data!$E127), "")</f>
        <v/>
      </c>
      <c r="C30" s="29" t="str">
        <f>IF(Data!$B135&gt;"", CONCATENATE(Data!$B135," ",Data!$J135,"-",Data!$K135," - ",Data!$E135), "")</f>
        <v/>
      </c>
      <c r="D30" s="29" t="str">
        <f>IF(Data!$B143&gt;"", CONCATENATE(Data!$B143," ",Data!$J143,"-",Data!$K143," - ",Data!$E143), "")</f>
        <v/>
      </c>
      <c r="E30" s="29" t="str">
        <f>IF(Data!$B151&gt;"", CONCATENATE(Data!$B151," ",Data!$J151,"-",Data!$K151," - ",Data!$E151), "")</f>
        <v/>
      </c>
      <c r="F30" s="29" t="str">
        <f>IF(Data!$B159&gt;"", CONCATENATE(Data!$B159," ",Data!$J159,"-",Data!$K159," - ",Data!$E159), "")</f>
        <v/>
      </c>
      <c r="G30" s="29" t="str">
        <f>IF(Data!$B167&gt;"", CONCATENATE(Data!$B167," ",Data!$J167,"\-",Data!$K167," - ",Data!$E167), "")</f>
        <v/>
      </c>
    </row>
    <row r="31" spans="1:7" ht="12.75" customHeight="1" x14ac:dyDescent="0.2">
      <c r="A31" s="29" t="str">
        <f>IF(Data!$B120&gt;"", CONCATENATE(Data!$B120," ",Data!$J120,"-",Data!$K120," - ",Data!$E120), "")</f>
        <v/>
      </c>
      <c r="B31" s="29" t="str">
        <f>IF(Data!$B128&gt;"", CONCATENATE(Data!$B128," ",Data!$J128,"-",Data!$K128," - ",Data!$E128), "")</f>
        <v/>
      </c>
      <c r="C31" s="29" t="str">
        <f>IF(Data!$B136&gt;"", CONCATENATE(Data!$B136," ",Data!$J136,"-",Data!$K136," - ",Data!$E136), "")</f>
        <v/>
      </c>
      <c r="D31" s="29" t="str">
        <f>IF(Data!$B144&gt;"", CONCATENATE(Data!$B144," ",Data!$J144,"-",Data!$K144," - ",Data!$E144), "")</f>
        <v/>
      </c>
      <c r="E31" s="29" t="str">
        <f>IF(Data!$B152&gt;"", CONCATENATE(Data!$B152," ",Data!$J152,"-",Data!$K152," - ",Data!$E152), "")</f>
        <v/>
      </c>
      <c r="F31" s="29" t="str">
        <f>IF(Data!$B160&gt;"", CONCATENATE(Data!$B160," ",Data!$J160,"-",Data!$K160," - ",Data!$E160), "")</f>
        <v/>
      </c>
      <c r="G31" s="29" t="str">
        <f>IF(Data!$B168&gt;"", CONCATENATE(Data!$B168," ",Data!$J168,"\-",Data!$K168," - ",Data!$E168), "")</f>
        <v/>
      </c>
    </row>
    <row r="32" spans="1:7" x14ac:dyDescent="0.2">
      <c r="A32" s="29" t="str">
        <f>IF(Data!$B121&gt;"", CONCATENATE(Data!$B121," ",Data!$J121,"-",Data!$K121," - ",Data!$E121), "")</f>
        <v/>
      </c>
      <c r="B32" s="29" t="str">
        <f>IF(Data!$B129&gt;"", CONCATENATE(Data!$B129," ",Data!$J129,"-",Data!$K129," - ",Data!$E129), "")</f>
        <v/>
      </c>
      <c r="C32" s="29" t="str">
        <f>IF(Data!$B137&gt;"", CONCATENATE(Data!$B137," ",Data!$J137,"-",Data!$K137," - ",Data!$E137), "")</f>
        <v/>
      </c>
      <c r="D32" s="29" t="str">
        <f>IF(Data!$B145&gt;"", CONCATENATE(Data!$B145," ",Data!$J145,"-",Data!$K145," - ",Data!$E145), "")</f>
        <v/>
      </c>
      <c r="E32" s="29" t="str">
        <f>IF(Data!$B153&gt;"", CONCATENATE(Data!$B153," ",Data!$J153,"-",Data!$K153," - ",Data!$E153), "")</f>
        <v/>
      </c>
      <c r="F32" s="29" t="str">
        <f>IF(Data!$B161&gt;"", CONCATENATE(Data!$B161," ",Data!$J161,"-",Data!$K161," - ",Data!$E161), "")</f>
        <v/>
      </c>
      <c r="G32" s="29" t="str">
        <f>IF(Data!$B169&gt;"", CONCATENATE(Data!$B169," ",Data!$J169,"\-",Data!$K169," - ",Data!$E169), "")</f>
        <v/>
      </c>
    </row>
    <row r="33" spans="1:7" ht="13.5" thickBot="1" x14ac:dyDescent="0.25">
      <c r="A33" s="15"/>
      <c r="B33" s="7" t="s">
        <v>9</v>
      </c>
      <c r="C33" s="5"/>
      <c r="D33" s="8" t="s">
        <v>10</v>
      </c>
      <c r="E33" s="9" t="s">
        <v>14</v>
      </c>
      <c r="F33" s="6" t="s">
        <v>8</v>
      </c>
      <c r="G33" s="11" t="s">
        <v>11</v>
      </c>
    </row>
    <row r="34" spans="1:7" ht="18" x14ac:dyDescent="0.25">
      <c r="A34" s="3">
        <f>G24+1</f>
        <v>22</v>
      </c>
      <c r="B34" s="16">
        <f t="shared" ref="B34:G34" si="3">A34+1</f>
        <v>23</v>
      </c>
      <c r="C34" s="3">
        <f t="shared" si="3"/>
        <v>24</v>
      </c>
      <c r="D34" s="16">
        <f t="shared" si="3"/>
        <v>25</v>
      </c>
      <c r="E34" s="3">
        <f t="shared" si="3"/>
        <v>26</v>
      </c>
      <c r="F34" s="16">
        <f t="shared" si="3"/>
        <v>27</v>
      </c>
      <c r="G34" s="3">
        <f t="shared" si="3"/>
        <v>28</v>
      </c>
    </row>
    <row r="35" spans="1:7" ht="12.75" customHeight="1" x14ac:dyDescent="0.2">
      <c r="A35" s="29" t="str">
        <f>IF(Data!$B170&gt;"", CONCATENATE(Data!$B170," ",Data!$J170,"-",Data!$K170," - ",Data!$E170), "")</f>
        <v/>
      </c>
      <c r="B35" s="29" t="str">
        <f>IF(Data!$B178&gt;"", CONCATENATE(Data!$B178," ",Data!$J178,"-",Data!$K178," - ",Data!$E178), "")</f>
        <v/>
      </c>
      <c r="C35" s="29" t="str">
        <f>IF(Data!$B186&gt;"", CONCATENATE(Data!$B186," ",Data!$J186,"-",Data!$K186," - ",Data!$E186), "")</f>
        <v/>
      </c>
      <c r="D35" s="29" t="str">
        <f>IF(Data!$B194&gt;"", CONCATENATE(Data!$B194," ",Data!$J194,"-",Data!$K194," - ",Data!$E194), "")</f>
        <v/>
      </c>
      <c r="E35" s="29" t="str">
        <f>IF(Data!$B202&gt;"", CONCATENATE(Data!$B202," ",Data!$J202,"-",Data!$K202," - ",Data!$E202), "")</f>
        <v/>
      </c>
      <c r="F35" s="29" t="str">
        <f>IF(Data!$B210&gt;"", CONCATENATE(Data!$B210," ",Data!$J210,"-",Data!$K210," - ",Data!$E210), "")</f>
        <v/>
      </c>
      <c r="G35" s="29" t="str">
        <f>IF(Data!$B218&gt;"", CONCATENATE(Data!$B218," ",Data!$J218,"-",Data!$K218," - ",Data!$E218), "")</f>
        <v/>
      </c>
    </row>
    <row r="36" spans="1:7" ht="12.75" customHeight="1" x14ac:dyDescent="0.2">
      <c r="A36" s="29" t="str">
        <f>IF(Data!$B171&gt;"", CONCATENATE(Data!$B171," ",Data!$J171,"-",Data!$K171," - ",Data!$E171), "")</f>
        <v/>
      </c>
      <c r="B36" s="29" t="str">
        <f>IF(Data!$B179&gt;"", CONCATENATE(Data!$B179," ",Data!$J179,"-",Data!$K179," - ",Data!$E179), "")</f>
        <v/>
      </c>
      <c r="C36" s="29" t="str">
        <f>IF(Data!$B187&gt;"", CONCATENATE(Data!$B187," ",Data!$J187,"-",Data!$K187," - ",Data!$E187), "")</f>
        <v/>
      </c>
      <c r="D36" s="29" t="str">
        <f>IF(Data!$B195&gt;"", CONCATENATE(Data!$B195," ",Data!$J195,"-",Data!$K195," - ",Data!$E195), "")</f>
        <v/>
      </c>
      <c r="E36" s="29" t="str">
        <f>IF(Data!$B203&gt;"", CONCATENATE(Data!$B203," ",Data!$J203,"-",Data!$K203," - ",Data!$E203), "")</f>
        <v/>
      </c>
      <c r="F36" s="29" t="str">
        <f>IF(Data!$B211&gt;"", CONCATENATE(Data!$B211," ",Data!$J211,"-",Data!$K211," - ",Data!$E211), "")</f>
        <v/>
      </c>
      <c r="G36" s="29" t="str">
        <f>IF(Data!$B219&gt;"", CONCATENATE(Data!$B219," ",Data!$J219,"-",Data!$K219," - ",Data!$E219), "")</f>
        <v/>
      </c>
    </row>
    <row r="37" spans="1:7" ht="12.75" customHeight="1" x14ac:dyDescent="0.2">
      <c r="A37" s="29" t="str">
        <f>IF(Data!$B172&gt;"", CONCATENATE(Data!$B172," ",Data!$J172,"-",Data!$K172," - ",Data!$E172), "")</f>
        <v/>
      </c>
      <c r="B37" s="29" t="str">
        <f>IF(Data!$B180&gt;"", CONCATENATE(Data!$B180," ",Data!$J180,"-",Data!$K180," - ",Data!$E180), "")</f>
        <v/>
      </c>
      <c r="C37" s="29" t="str">
        <f>IF(Data!$B188&gt;"", CONCATENATE(Data!$B188," ",Data!$J188,"-",Data!$K188," - ",Data!$E188), "")</f>
        <v/>
      </c>
      <c r="D37" s="29" t="str">
        <f>IF(Data!$B196&gt;"", CONCATENATE(Data!$B196," ",Data!$J196,"-",Data!$K196," - ",Data!$E196), "")</f>
        <v/>
      </c>
      <c r="E37" s="29" t="str">
        <f>IF(Data!$B204&gt;"", CONCATENATE(Data!$B204," ",Data!$J204,"-",Data!$K204," - ",Data!$E204), "")</f>
        <v/>
      </c>
      <c r="F37" s="29" t="str">
        <f>IF(Data!$B212&gt;"", CONCATENATE(Data!$B212," ",Data!$J212,"-",Data!$K212," - ",Data!$E212), "")</f>
        <v/>
      </c>
      <c r="G37" s="29" t="str">
        <f>IF(Data!$B220&gt;"", CONCATENATE(Data!$B220," ",Data!$J220,"-",Data!$K220," - ",Data!$E220), "")</f>
        <v/>
      </c>
    </row>
    <row r="38" spans="1:7" ht="12.75" customHeight="1" x14ac:dyDescent="0.2">
      <c r="A38" s="29" t="str">
        <f>IF(Data!$B173&gt;"", CONCATENATE(Data!$B173," ",Data!$J173,"-",Data!$K173," - ",Data!$E173), "")</f>
        <v/>
      </c>
      <c r="B38" s="29" t="str">
        <f>IF(Data!$B181&gt;"", CONCATENATE(Data!$B181," ",Data!$J181,"-",Data!$K181," - ",Data!$E181), "")</f>
        <v/>
      </c>
      <c r="C38" s="29" t="str">
        <f>IF(Data!$B189&gt;"", CONCATENATE(Data!$B189," ",Data!$J189,"-",Data!$K189," - ",Data!$E189), "")</f>
        <v/>
      </c>
      <c r="D38" s="29" t="str">
        <f>IF(Data!$B197&gt;"", CONCATENATE(Data!$B197," ",Data!$J197,"-",Data!$K197," - ",Data!$E197), "")</f>
        <v/>
      </c>
      <c r="E38" s="29" t="str">
        <f>IF(Data!$B205&gt;"", CONCATENATE(Data!$B205," ",Data!$J205,"-",Data!$K205," - ",Data!$E205), "")</f>
        <v/>
      </c>
      <c r="F38" s="29" t="str">
        <f>IF(Data!$B213&gt;"", CONCATENATE(Data!$B213," ",Data!$J213,"-",Data!$K213," - ",Data!$E213), "")</f>
        <v/>
      </c>
      <c r="G38" s="29" t="str">
        <f>IF(Data!$B221&gt;"", CONCATENATE(Data!$B221," ",Data!$J221,"-",Data!$K221," - ",Data!$E221), "")</f>
        <v/>
      </c>
    </row>
    <row r="39" spans="1:7" ht="12.75" customHeight="1" x14ac:dyDescent="0.2">
      <c r="A39" s="29" t="str">
        <f>IF(Data!$B174&gt;"", CONCATENATE(Data!$B174," ",Data!$J174,"-",Data!$K174," - ",Data!$E174), "")</f>
        <v/>
      </c>
      <c r="B39" s="29" t="str">
        <f>IF(Data!$B182&gt;"", CONCATENATE(Data!$B182," ",Data!$J182,"-",Data!$K182," - ",Data!$E182), "")</f>
        <v/>
      </c>
      <c r="C39" s="29" t="str">
        <f>IF(Data!$B190&gt;"", CONCATENATE(Data!$B190," ",Data!$J190,"-",Data!$K190," - ",Data!$E190), "")</f>
        <v/>
      </c>
      <c r="D39" s="29" t="str">
        <f>IF(Data!$B198&gt;"", CONCATENATE(Data!$B198," ",Data!$J198,"-",Data!$K198," - ",Data!$E198), "")</f>
        <v/>
      </c>
      <c r="E39" s="29" t="str">
        <f>IF(Data!$B206&gt;"", CONCATENATE(Data!$B206," ",Data!$J206,"-",Data!$K206," - ",Data!$E206), "")</f>
        <v/>
      </c>
      <c r="F39" s="29" t="str">
        <f>IF(Data!$B214&gt;"", CONCATENATE(Data!$B214," ",Data!$J214,"-",Data!$K214," - ",Data!$E214), "")</f>
        <v/>
      </c>
      <c r="G39" s="29" t="str">
        <f>IF(Data!$B222&gt;"", CONCATENATE(Data!$B222," ",Data!$J222,"-",Data!$K222," - ",Data!$E222), "")</f>
        <v/>
      </c>
    </row>
    <row r="40" spans="1:7" ht="12.75" customHeight="1" x14ac:dyDescent="0.2">
      <c r="A40" s="29" t="str">
        <f>IF(Data!$B175&gt;"", CONCATENATE(Data!$B175," ",Data!$J175,"-",Data!$K175," - ",Data!$E175), "")</f>
        <v/>
      </c>
      <c r="B40" s="29" t="str">
        <f>IF(Data!$B183&gt;"", CONCATENATE(Data!$B183," ",Data!$J183,"-",Data!$K183," - ",Data!$E183), "")</f>
        <v/>
      </c>
      <c r="C40" s="29" t="str">
        <f>IF(Data!$B191&gt;"", CONCATENATE(Data!$B191," ",Data!$J191,"-",Data!$K191," - ",Data!$E191), "")</f>
        <v/>
      </c>
      <c r="D40" s="29" t="str">
        <f>IF(Data!$B199&gt;"", CONCATENATE(Data!$B199," ",Data!$J199,"-",Data!$K199," - ",Data!$E199), "")</f>
        <v/>
      </c>
      <c r="E40" s="29" t="str">
        <f>IF(Data!$B207&gt;"", CONCATENATE(Data!$B207," ",Data!$J207,"-",Data!$K207," - ",Data!$E207), "")</f>
        <v/>
      </c>
      <c r="F40" s="29" t="str">
        <f>IF(Data!$B215&gt;"", CONCATENATE(Data!$B215," ",Data!$J215,"-",Data!$K215," - ",Data!$E215), "")</f>
        <v/>
      </c>
      <c r="G40" s="29" t="str">
        <f>IF(Data!$B223&gt;"", CONCATENATE(Data!$B223," ",Data!$J223,"-",Data!$K223," - ",Data!$E223), "")</f>
        <v/>
      </c>
    </row>
    <row r="41" spans="1:7" ht="15" customHeight="1" x14ac:dyDescent="0.2">
      <c r="A41" s="29" t="str">
        <f>IF(Data!$B176&gt;"", CONCATENATE(Data!$B176," ",Data!$J176,"-",Data!$K176," - ",Data!$E176), "")</f>
        <v/>
      </c>
      <c r="B41" s="29" t="str">
        <f>IF(Data!$B184&gt;"", CONCATENATE(Data!$B184," ",Data!$J184,"-",Data!$K184," - ",Data!$E184), "")</f>
        <v/>
      </c>
      <c r="C41" s="29" t="str">
        <f>IF(Data!$B192&gt;"", CONCATENATE(Data!$B192," ",Data!$J192,"-",Data!$K192," - ",Data!$E192), "")</f>
        <v/>
      </c>
      <c r="D41" s="29" t="str">
        <f>IF(Data!$B200&gt;"", CONCATENATE(Data!$B200," ",Data!$J200,"-",Data!$K200," - ",Data!$E200), "")</f>
        <v/>
      </c>
      <c r="E41" s="29" t="str">
        <f>IF(Data!$B208&gt;"", CONCATENATE(Data!$B208," ",Data!$J208,"-",Data!$K208," - ",Data!$E208), "")</f>
        <v/>
      </c>
      <c r="F41" s="29" t="str">
        <f>IF(Data!$B216&gt;"", CONCATENATE(Data!$B216," ",Data!$J216,"-",Data!$K216," - ",Data!$E216), "")</f>
        <v/>
      </c>
      <c r="G41" s="29" t="str">
        <f>IF(Data!$B224&gt;"", CONCATENATE(Data!$B224," ",Data!$J224,"-",Data!$K224," - ",Data!$E224), "")</f>
        <v/>
      </c>
    </row>
    <row r="42" spans="1:7" x14ac:dyDescent="0.2">
      <c r="A42" s="29" t="str">
        <f>IF(Data!$B177&gt;"", CONCATENATE(Data!$B177," ",Data!$J177,"-",Data!$K177," - ",Data!$E177), "")</f>
        <v/>
      </c>
      <c r="B42" s="29" t="str">
        <f>IF(Data!$B185&gt;"", CONCATENATE(Data!$B185," ",Data!$J185,"-",Data!$K185," - ",Data!$E185), "")</f>
        <v/>
      </c>
      <c r="C42" s="29" t="str">
        <f>IF(Data!$B193&gt;"", CONCATENATE(Data!$B193," ",Data!$J193,"-",Data!$K193," - ",Data!$E193), "")</f>
        <v/>
      </c>
      <c r="D42" s="29" t="str">
        <f>IF(Data!$B201&gt;"", CONCATENATE(Data!$B201," ",Data!$J201,"-",Data!$K201," - ",Data!$E201), "")</f>
        <v/>
      </c>
      <c r="E42" s="29" t="str">
        <f>IF(Data!$B209&gt;"", CONCATENATE(Data!$B209," ",Data!$J209,"-",Data!$K209," - ",Data!$E209), "")</f>
        <v/>
      </c>
      <c r="F42" s="29" t="str">
        <f>IF(Data!$B217&gt;"", CONCATENATE(Data!$B217," ",Data!$J217,"-",Data!$K217," - ",Data!$E217), "")</f>
        <v/>
      </c>
      <c r="G42" s="29" t="str">
        <f>IF(Data!$B225&gt;"", CONCATENATE(Data!$B225," ",Data!$J225,"-",Data!$K225," - ",Data!$E225), "")</f>
        <v/>
      </c>
    </row>
    <row r="43" spans="1:7" ht="14.25" thickBot="1" x14ac:dyDescent="0.25">
      <c r="A43" s="17"/>
      <c r="B43" s="7" t="s">
        <v>9</v>
      </c>
      <c r="C43" s="8"/>
      <c r="D43" s="18"/>
      <c r="E43" s="30"/>
      <c r="F43" s="10"/>
      <c r="G43" s="11" t="s">
        <v>11</v>
      </c>
    </row>
    <row r="44" spans="1:7" ht="18" customHeight="1" x14ac:dyDescent="0.25">
      <c r="A44" s="4">
        <f>G34+1</f>
        <v>29</v>
      </c>
      <c r="B44" s="19">
        <f t="shared" ref="B44:G44" si="4">A44+1</f>
        <v>30</v>
      </c>
      <c r="C44" s="20">
        <f t="shared" si="4"/>
        <v>31</v>
      </c>
      <c r="D44" s="3">
        <f t="shared" si="4"/>
        <v>32</v>
      </c>
      <c r="E44" s="4">
        <f t="shared" si="4"/>
        <v>33</v>
      </c>
      <c r="F44" s="31">
        <f t="shared" si="4"/>
        <v>34</v>
      </c>
      <c r="G44" s="32">
        <f t="shared" si="4"/>
        <v>35</v>
      </c>
    </row>
    <row r="45" spans="1:7" ht="14.25" customHeight="1" x14ac:dyDescent="0.2">
      <c r="A45" s="29" t="str">
        <f>IF(Data!$B226&gt;"", CONCATENATE(Data!$B226," ",Data!$J226,"-",Data!$K226," - ",Data!$E226), "")</f>
        <v/>
      </c>
      <c r="B45" s="29" t="str">
        <f>IF(Data!$B234&gt;"", CONCATENATE(Data!$B234," ",Data!$J234,"-",Data!$K234," - ",Data!$E234), "")</f>
        <v/>
      </c>
      <c r="C45" s="29" t="str">
        <f>IF(Data!$B242&gt;"", CONCATENATE(Data!$B242," ",Data!$J242,"-",Data!$K242," - ",Data!$E242), "")</f>
        <v/>
      </c>
      <c r="D45" s="29" t="str">
        <f>IF(Data!$B250&gt;"", CONCATENATE(Data!$B250," ",Data!$J250,"-",Data!$K250," - ",Data!$E250), "")</f>
        <v/>
      </c>
      <c r="E45" s="29" t="str">
        <f>IF(Data!$B258&gt;"", CONCATENATE(Data!$B258," ",Data!$J258,"-",Data!$K258," - ",Data!$E258), "")</f>
        <v/>
      </c>
      <c r="F45" s="29" t="str">
        <f>IF(Data!$B266&gt;"", CONCATENATE(Data!$B266," ",Data!$J266,"-",Data!$K266," - ",Data!$E266), "")</f>
        <v/>
      </c>
      <c r="G45" s="29" t="str">
        <f>IF(Data!$B274&gt;"", CONCATENATE(Data!$B274," ",Data!$J274,"-",Data!$K274," - ",Data!$E274), "")</f>
        <v/>
      </c>
    </row>
    <row r="46" spans="1:7" ht="13.5" customHeight="1" x14ac:dyDescent="0.2">
      <c r="A46" s="29" t="str">
        <f>IF(Data!$B227&gt;"", CONCATENATE(Data!$B227," ",Data!$J227,"-",Data!$K227," - ",Data!$E227), "")</f>
        <v/>
      </c>
      <c r="B46" s="29" t="str">
        <f>IF(Data!$B235&gt;"", CONCATENATE(Data!$B235," ",Data!$J235,"-",Data!$K235," - ",Data!$E235), "")</f>
        <v/>
      </c>
      <c r="C46" s="29" t="str">
        <f>IF(Data!$B243&gt;"", CONCATENATE(Data!$B243," ",Data!$J243,"-",Data!$K243," - ",Data!$E243), "")</f>
        <v/>
      </c>
      <c r="D46" s="29" t="str">
        <f>IF(Data!$B251&gt;"", CONCATENATE(Data!$B251," ",Data!$J251,"-",Data!$K251," - ",Data!$E251), "")</f>
        <v/>
      </c>
      <c r="E46" s="29" t="str">
        <f>IF(Data!$B259&gt;"", CONCATENATE(Data!$B259," ",Data!$J259,"-",Data!$K259," - ",Data!$E259), "")</f>
        <v/>
      </c>
      <c r="F46" s="29" t="str">
        <f>IF(Data!$B267&gt;"", CONCATENATE(Data!$B267," ",Data!$J267,"-",Data!$K267," - ",Data!$E267), "")</f>
        <v/>
      </c>
      <c r="G46" s="29" t="str">
        <f>IF(Data!$B275&gt;"", CONCATENATE(Data!$B275," ",Data!$J275,"-",Data!$K275," - ",Data!$E275), "")</f>
        <v/>
      </c>
    </row>
    <row r="47" spans="1:7" ht="15" customHeight="1" x14ac:dyDescent="0.2">
      <c r="A47" s="29" t="str">
        <f>IF(Data!$B228&gt;"", CONCATENATE(Data!$B228," ",Data!$J228,"-",Data!$K228," - ",Data!$E228), "")</f>
        <v/>
      </c>
      <c r="B47" s="29" t="str">
        <f>IF(Data!$B236&gt;"", CONCATENATE(Data!$B236," ",Data!$J236,"-",Data!$K236," - ",Data!$E236), "")</f>
        <v/>
      </c>
      <c r="C47" s="29" t="str">
        <f>IF(Data!$B244&gt;"", CONCATENATE(Data!$B244," ",Data!$J244,"-",Data!$K244," - ",Data!$E244), "")</f>
        <v/>
      </c>
      <c r="D47" s="29" t="str">
        <f>IF(Data!$B252&gt;"", CONCATENATE(Data!$B252," ",Data!$J252,"-",Data!$K252," - ",Data!$E252), "")</f>
        <v/>
      </c>
      <c r="E47" s="29" t="str">
        <f>IF(Data!$B260&gt;"", CONCATENATE(Data!$B260," ",Data!$J260,"-",Data!$K260," - ",Data!$E260), "")</f>
        <v/>
      </c>
      <c r="F47" s="29" t="str">
        <f>IF(Data!$B268&gt;"", CONCATENATE(Data!$B268," ",Data!$J268,"-",Data!$K268," - ",Data!$E268), "")</f>
        <v/>
      </c>
      <c r="G47" s="29" t="str">
        <f>IF(Data!$B276&gt;"", CONCATENATE(Data!$B276," ",Data!$J276,"-",Data!$K276," - ",Data!$E276), "")</f>
        <v/>
      </c>
    </row>
    <row r="48" spans="1:7" ht="15" customHeight="1" x14ac:dyDescent="0.2">
      <c r="A48" s="29" t="str">
        <f>IF(Data!$B229&gt;"", CONCATENATE(Data!$B229," ",Data!$J229,"-",Data!$K229," - ",Data!$E229), "")</f>
        <v/>
      </c>
      <c r="B48" s="29" t="str">
        <f>IF(Data!$B237&gt;"", CONCATENATE(Data!$B237," ",Data!$J237,"-",Data!$K237," - ",Data!$E237), "")</f>
        <v/>
      </c>
      <c r="C48" s="29" t="str">
        <f>IF(Data!$B245&gt;"", CONCATENATE(Data!$B245," ",Data!$J245,"-",Data!$K245," - ",Data!$E245), "")</f>
        <v/>
      </c>
      <c r="D48" s="29" t="str">
        <f>IF(Data!$B253&gt;"", CONCATENATE(Data!$B253," ",Data!$J253,"-",Data!$K253," - ",Data!$E253), "")</f>
        <v/>
      </c>
      <c r="E48" s="29" t="str">
        <f>IF(Data!$B261&gt;"", CONCATENATE(Data!$B261," ",Data!$J261,"-",Data!$K261," - ",Data!$E261), "")</f>
        <v/>
      </c>
      <c r="F48" s="29" t="str">
        <f>IF(Data!$B269&gt;"", CONCATENATE(Data!$B269," ",Data!$J269,"-",Data!$K269," - ",Data!$E269), "")</f>
        <v/>
      </c>
      <c r="G48" s="29" t="str">
        <f>IF(Data!$B277&gt;"", CONCATENATE(Data!$B277," ",Data!$J277,"-",Data!$K277," - ",Data!$E277), "")</f>
        <v/>
      </c>
    </row>
    <row r="49" spans="1:7" ht="12.75" customHeight="1" x14ac:dyDescent="0.2">
      <c r="A49" s="29" t="str">
        <f>IF(Data!$B230&gt;"", CONCATENATE(Data!$B230," ",Data!$J230,"-",Data!$K230," - ",Data!$E230), "")</f>
        <v/>
      </c>
      <c r="B49" s="29" t="str">
        <f>IF(Data!$B238&gt;"", CONCATENATE(Data!$B238," ",Data!$J238,"-",Data!$K238," - ",Data!$E238), "")</f>
        <v/>
      </c>
      <c r="C49" s="29" t="str">
        <f>IF(Data!$B246&gt;"", CONCATENATE(Data!$B246," ",Data!$J246,"-",Data!$K246," - ",Data!$E246), "")</f>
        <v/>
      </c>
      <c r="D49" s="29" t="str">
        <f>IF(Data!$B254&gt;"", CONCATENATE(Data!$B254," ",Data!$J254,"-",Data!$K254," - ",Data!$E254), "")</f>
        <v/>
      </c>
      <c r="E49" s="29" t="str">
        <f>IF(Data!$B262&gt;"", CONCATENATE(Data!$B262," ",Data!$J262,"-",Data!$K262," - ",Data!$E262), "")</f>
        <v/>
      </c>
      <c r="F49" s="29" t="str">
        <f>IF(Data!$B270&gt;"", CONCATENATE(Data!$B270," ",Data!$J270,"-",Data!$K270," - ",Data!$E270), "")</f>
        <v/>
      </c>
      <c r="G49" s="29" t="str">
        <f>IF(Data!$B278&gt;"", CONCATENATE(Data!$B278," ",Data!$J278,"-",Data!$K278," - ",Data!$E278), "")</f>
        <v/>
      </c>
    </row>
    <row r="50" spans="1:7" ht="12.75" customHeight="1" x14ac:dyDescent="0.2">
      <c r="A50" s="29" t="str">
        <f>IF(Data!$B231&gt;"", CONCATENATE(Data!$B231," ",Data!$J231,"-",Data!$K231," - ",Data!$E231), "")</f>
        <v/>
      </c>
      <c r="B50" s="29" t="str">
        <f>IF(Data!$B239&gt;"", CONCATENATE(Data!$B239," ",Data!$J239,"-",Data!$K239," - ",Data!$E239), "")</f>
        <v/>
      </c>
      <c r="C50" s="29" t="str">
        <f>IF(Data!$B247&gt;"", CONCATENATE(Data!$B247," ",Data!$J247,"-",Data!$K247," - ",Data!$E247), "")</f>
        <v/>
      </c>
      <c r="D50" s="29" t="str">
        <f>IF(Data!$B255&gt;"", CONCATENATE(Data!$B255," ",Data!$J255,"-",Data!$K255," - ",Data!$E255), "")</f>
        <v/>
      </c>
      <c r="E50" s="29" t="str">
        <f>IF(Data!$B263&gt;"", CONCATENATE(Data!$B263," ",Data!$J263,"-",Data!$K263," - ",Data!$E263), "")</f>
        <v/>
      </c>
      <c r="F50" s="29" t="str">
        <f>IF(Data!$B271&gt;"", CONCATENATE(Data!$B271," ",Data!$J271,"-",Data!$K271," - ",Data!$E271), "")</f>
        <v/>
      </c>
      <c r="G50" s="29" t="str">
        <f>IF(Data!$B279&gt;"", CONCATENATE(Data!$B279," ",Data!$J279,"-",Data!$K279," - ",Data!$E279), "")</f>
        <v/>
      </c>
    </row>
    <row r="51" spans="1:7" ht="15" customHeight="1" x14ac:dyDescent="0.2">
      <c r="A51" s="29" t="str">
        <f>IF(Data!$B232&gt;"", CONCATENATE(Data!$B232," ",Data!$J232,"-",Data!$K232," - ",Data!$E232), "")</f>
        <v/>
      </c>
      <c r="B51" s="29" t="str">
        <f>IF(Data!$B240&gt;"", CONCATENATE(Data!$B240," ",Data!$J240,"-",Data!$K240," - ",Data!$E240), "")</f>
        <v/>
      </c>
      <c r="C51" s="29" t="str">
        <f>IF(Data!$B248&gt;"", CONCATENATE(Data!$B248," ",Data!$J248,"-",Data!$K248," - ",Data!$E248), "")</f>
        <v/>
      </c>
      <c r="D51" s="29" t="str">
        <f>IF(Data!$B256&gt;"", CONCATENATE(Data!$B256," ",Data!$J256,"-",Data!$K256," - ",Data!$E256), "")</f>
        <v/>
      </c>
      <c r="E51" s="29" t="str">
        <f>IF(Data!$B264&gt;"", CONCATENATE(Data!$B264," ",Data!$J264,"-",Data!$K264," - ",Data!$E264), "")</f>
        <v/>
      </c>
      <c r="F51" s="29" t="str">
        <f>IF(Data!$B272&gt;"", CONCATENATE(Data!$B272," ",Data!$J272,"-",Data!$K272," - ",Data!$E272), "")</f>
        <v/>
      </c>
      <c r="G51" s="29" t="str">
        <f>IF(Data!$B280&gt;"", CONCATENATE(Data!$B280," ",Data!$J280,"-",Data!$K280," - ",Data!$E280), "")</f>
        <v/>
      </c>
    </row>
    <row r="52" spans="1:7" ht="13.5" customHeight="1" x14ac:dyDescent="0.2">
      <c r="A52" s="29" t="str">
        <f>IF(Data!$B233&gt;"", CONCATENATE(Data!$B233," ",Data!$J233,"-",Data!$K233," - ",Data!$E233), "")</f>
        <v/>
      </c>
      <c r="B52" s="29" t="str">
        <f>IF(Data!$B241&gt;"", CONCATENATE(Data!$B241," ",Data!$J241,"-",Data!$K241," - ",Data!$E241), "")</f>
        <v/>
      </c>
      <c r="C52" s="29" t="str">
        <f>IF(Data!$B249&gt;"", CONCATENATE(Data!$B249," ",Data!$J249,"-",Data!$K249," - ",Data!$E249), "")</f>
        <v/>
      </c>
      <c r="D52" s="29" t="str">
        <f>IF(Data!$B257&gt;"", CONCATENATE(Data!$B257," ",Data!$J257,"-",Data!$K257," - ",Data!$E257), "")</f>
        <v/>
      </c>
      <c r="E52" s="29" t="str">
        <f>IF(Data!$B265&gt;"", CONCATENATE(Data!$B265," ",Data!$J265,"-",Data!$K265," - ",Data!$E265), "")</f>
        <v/>
      </c>
      <c r="F52" s="29" t="str">
        <f>IF(Data!$B273&gt;"", CONCATENATE(Data!$B273," ",Data!$J273,"-",Data!$K273," - ",Data!$E273), "")</f>
        <v/>
      </c>
      <c r="G52" s="29" t="str">
        <f>IF(Data!$B281&gt;"", CONCATENATE(Data!$B281," ",Data!$J281,"-",Data!$K281," - ",Data!$E281), "")</f>
        <v/>
      </c>
    </row>
    <row r="53" spans="1:7" ht="14.25" thickBot="1" x14ac:dyDescent="0.3">
      <c r="A53" s="21" t="s">
        <v>13</v>
      </c>
      <c r="B53" s="7" t="s">
        <v>9</v>
      </c>
      <c r="C53" s="15"/>
      <c r="D53" s="33"/>
      <c r="E53" s="22"/>
      <c r="F53" s="23"/>
      <c r="G53" s="24" t="str">
        <f ca="1">CONCATENATE("Revised: 12/02/2014  Printed: ", TEXT(TODAY(),"m/dd/yyyy"))</f>
        <v>Revised: 12/02/2014  Printed: 7/24/2015</v>
      </c>
    </row>
    <row r="54" spans="1:7" x14ac:dyDescent="0.2">
      <c r="A54" s="25"/>
      <c r="B54" s="26"/>
      <c r="C54" s="14"/>
      <c r="D54" s="14"/>
      <c r="E54" s="27"/>
      <c r="F54" s="28"/>
      <c r="G54" s="37"/>
    </row>
  </sheetData>
  <mergeCells count="3">
    <mergeCell ref="A1:B2"/>
    <mergeCell ref="C1:E2"/>
    <mergeCell ref="F1:G2"/>
  </mergeCells>
  <pageMargins left="0" right="0" top="0.5" bottom="0" header="0.3" footer="0.05"/>
  <pageSetup paperSize="3" orientation="landscape"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G56"/>
  <sheetViews>
    <sheetView workbookViewId="0">
      <selection sqref="A1:B2"/>
    </sheetView>
  </sheetViews>
  <sheetFormatPr defaultRowHeight="12.75" x14ac:dyDescent="0.2"/>
  <cols>
    <col min="1" max="1" width="33.28515625" customWidth="1"/>
    <col min="2" max="2" width="31.140625" customWidth="1"/>
    <col min="3" max="3" width="28.140625" customWidth="1"/>
    <col min="4" max="4" width="29" customWidth="1"/>
    <col min="5" max="5" width="30.140625" customWidth="1"/>
    <col min="6" max="6" width="29.7109375" customWidth="1"/>
    <col min="7" max="7" width="34.140625" customWidth="1"/>
  </cols>
  <sheetData>
    <row r="1" spans="1:7" ht="21.75" customHeight="1" x14ac:dyDescent="0.2">
      <c r="A1" s="47"/>
      <c r="B1" s="47"/>
      <c r="C1" s="46" t="s">
        <v>0</v>
      </c>
      <c r="D1" s="46"/>
      <c r="E1" s="46"/>
      <c r="F1" s="49"/>
      <c r="G1" s="49"/>
    </row>
    <row r="2" spans="1:7" ht="40.5" customHeight="1" x14ac:dyDescent="0.2">
      <c r="A2" s="48"/>
      <c r="B2" s="48"/>
      <c r="C2" s="46"/>
      <c r="D2" s="46"/>
      <c r="E2" s="46"/>
      <c r="F2" s="50"/>
      <c r="G2" s="50"/>
    </row>
    <row r="3" spans="1:7" ht="23.25" customHeight="1" thickBot="1" x14ac:dyDescent="0.25">
      <c r="A3" s="44" t="s">
        <v>1</v>
      </c>
      <c r="B3" s="44" t="s">
        <v>2</v>
      </c>
      <c r="C3" s="44" t="s">
        <v>3</v>
      </c>
      <c r="D3" s="44" t="s">
        <v>4</v>
      </c>
      <c r="E3" s="44" t="s">
        <v>5</v>
      </c>
      <c r="F3" s="44" t="s">
        <v>6</v>
      </c>
      <c r="G3" s="44" t="s">
        <v>7</v>
      </c>
    </row>
    <row r="4" spans="1:7" ht="18.75" customHeight="1" x14ac:dyDescent="0.25">
      <c r="A4" s="3">
        <v>1</v>
      </c>
      <c r="B4" s="3">
        <f t="shared" ref="B4:G4" si="0">A4+1</f>
        <v>2</v>
      </c>
      <c r="C4" s="3">
        <f t="shared" si="0"/>
        <v>3</v>
      </c>
      <c r="D4" s="3">
        <f t="shared" si="0"/>
        <v>4</v>
      </c>
      <c r="E4" s="3">
        <f t="shared" si="0"/>
        <v>5</v>
      </c>
      <c r="F4" s="3">
        <f t="shared" si="0"/>
        <v>6</v>
      </c>
      <c r="G4" s="3">
        <f t="shared" si="0"/>
        <v>7</v>
      </c>
    </row>
    <row r="5" spans="1:7" ht="23.25" customHeight="1" x14ac:dyDescent="0.2">
      <c r="A5" s="29"/>
      <c r="B5" s="29"/>
      <c r="C5" s="29"/>
      <c r="D5" s="29"/>
      <c r="E5" s="29"/>
      <c r="F5" s="29"/>
      <c r="G5" s="29"/>
    </row>
    <row r="6" spans="1:7" ht="19.5" customHeight="1" x14ac:dyDescent="0.2">
      <c r="A6" s="29"/>
      <c r="B6" s="29"/>
      <c r="C6" s="29"/>
      <c r="D6" s="29"/>
      <c r="E6" s="29"/>
      <c r="F6" s="29"/>
      <c r="G6" s="29"/>
    </row>
    <row r="7" spans="1:7" ht="20.25" customHeight="1" x14ac:dyDescent="0.2">
      <c r="A7" s="29"/>
      <c r="B7" s="29"/>
      <c r="C7" s="29"/>
      <c r="D7" s="29"/>
      <c r="E7" s="29"/>
      <c r="F7" s="29"/>
      <c r="G7" s="29"/>
    </row>
    <row r="8" spans="1:7" x14ac:dyDescent="0.2">
      <c r="A8" s="29"/>
      <c r="B8" s="29"/>
      <c r="C8" s="29"/>
      <c r="D8" s="29"/>
      <c r="E8" s="29"/>
      <c r="F8" s="29"/>
      <c r="G8" s="29"/>
    </row>
    <row r="9" spans="1:7" x14ac:dyDescent="0.2">
      <c r="A9" s="29"/>
      <c r="B9" s="29"/>
      <c r="C9" s="29"/>
      <c r="D9" s="29"/>
      <c r="E9" s="29"/>
      <c r="F9" s="29"/>
      <c r="G9" s="29"/>
    </row>
    <row r="10" spans="1:7" ht="22.5" customHeight="1" x14ac:dyDescent="0.2">
      <c r="A10" s="29"/>
      <c r="B10" s="29"/>
      <c r="C10" s="29"/>
      <c r="D10" s="29"/>
      <c r="E10" s="29"/>
      <c r="F10" s="29"/>
      <c r="G10" s="29"/>
    </row>
    <row r="11" spans="1:7" ht="12.75" customHeight="1" x14ac:dyDescent="0.2">
      <c r="A11" s="29"/>
      <c r="B11" s="29"/>
      <c r="C11" s="29"/>
      <c r="D11" s="29"/>
      <c r="E11" s="29"/>
      <c r="F11" s="29"/>
      <c r="G11" s="29"/>
    </row>
    <row r="12" spans="1:7" ht="12.75" customHeight="1" x14ac:dyDescent="0.2">
      <c r="A12" s="29"/>
      <c r="B12" s="29"/>
      <c r="C12" s="29"/>
      <c r="D12" s="29"/>
      <c r="E12" s="29"/>
      <c r="F12" s="29"/>
      <c r="G12" s="29"/>
    </row>
    <row r="13" spans="1:7" ht="25.5" customHeight="1" thickBot="1" x14ac:dyDescent="0.25">
      <c r="A13" s="39"/>
      <c r="B13" s="8" t="s">
        <v>17</v>
      </c>
      <c r="C13" s="8"/>
      <c r="D13" s="8" t="s">
        <v>10</v>
      </c>
      <c r="E13" s="38" t="s">
        <v>17</v>
      </c>
      <c r="F13" s="41" t="s">
        <v>8</v>
      </c>
      <c r="G13" s="11" t="s">
        <v>11</v>
      </c>
    </row>
    <row r="14" spans="1:7" ht="18" x14ac:dyDescent="0.25">
      <c r="A14" s="3">
        <f>G4+1</f>
        <v>8</v>
      </c>
      <c r="B14" s="12">
        <f t="shared" ref="B14:G14" si="1">A14+1</f>
        <v>9</v>
      </c>
      <c r="C14" s="3">
        <f t="shared" si="1"/>
        <v>10</v>
      </c>
      <c r="D14" s="12">
        <f t="shared" si="1"/>
        <v>11</v>
      </c>
      <c r="E14" s="3">
        <f t="shared" si="1"/>
        <v>12</v>
      </c>
      <c r="F14" s="12">
        <f t="shared" si="1"/>
        <v>13</v>
      </c>
      <c r="G14" s="3">
        <f t="shared" si="1"/>
        <v>14</v>
      </c>
    </row>
    <row r="15" spans="1:7" x14ac:dyDescent="0.2">
      <c r="A15" s="29"/>
      <c r="B15" s="29"/>
      <c r="C15" s="29"/>
      <c r="D15" s="29"/>
      <c r="E15" s="29"/>
      <c r="F15" s="29"/>
      <c r="G15" s="29"/>
    </row>
    <row r="16" spans="1:7" x14ac:dyDescent="0.2">
      <c r="A16" s="29"/>
      <c r="B16" s="29"/>
      <c r="C16" s="29"/>
      <c r="D16" s="29"/>
      <c r="E16" s="29"/>
      <c r="F16" s="29"/>
      <c r="G16" s="29"/>
    </row>
    <row r="17" spans="1:7" x14ac:dyDescent="0.2">
      <c r="A17" s="29"/>
      <c r="B17" s="29"/>
      <c r="C17" s="29"/>
      <c r="D17" s="29"/>
      <c r="E17" s="29"/>
      <c r="F17" s="29"/>
      <c r="G17" s="29"/>
    </row>
    <row r="18" spans="1:7" x14ac:dyDescent="0.2">
      <c r="A18" s="29"/>
      <c r="B18" s="29"/>
      <c r="C18" s="29"/>
      <c r="D18" s="29"/>
      <c r="E18" s="29"/>
      <c r="F18" s="29"/>
      <c r="G18" s="29"/>
    </row>
    <row r="19" spans="1:7" x14ac:dyDescent="0.2">
      <c r="A19" s="29"/>
      <c r="B19" s="29"/>
      <c r="C19" s="29"/>
      <c r="D19" s="29"/>
      <c r="E19" s="29"/>
      <c r="F19" s="29"/>
      <c r="G19" s="29"/>
    </row>
    <row r="20" spans="1:7" x14ac:dyDescent="0.2">
      <c r="A20" s="29"/>
      <c r="B20" s="29"/>
      <c r="C20" s="29"/>
      <c r="D20" s="29"/>
      <c r="E20" s="29"/>
      <c r="F20" s="29"/>
      <c r="G20" s="29"/>
    </row>
    <row r="21" spans="1:7" ht="12.75" customHeight="1" x14ac:dyDescent="0.2">
      <c r="A21" s="29"/>
      <c r="B21" s="29"/>
      <c r="C21" s="29"/>
      <c r="D21" s="29"/>
      <c r="E21" s="29"/>
      <c r="F21" s="29"/>
      <c r="G21" s="29"/>
    </row>
    <row r="22" spans="1:7" ht="13.5" customHeight="1" x14ac:dyDescent="0.2">
      <c r="A22" s="29"/>
      <c r="B22" s="29"/>
      <c r="C22" s="29"/>
      <c r="D22" s="29"/>
      <c r="E22" s="29"/>
      <c r="F22" s="29"/>
      <c r="G22" s="29"/>
    </row>
    <row r="23" spans="1:7" ht="13.5" thickBot="1" x14ac:dyDescent="0.25">
      <c r="A23" s="39"/>
      <c r="B23" s="8" t="s">
        <v>17</v>
      </c>
      <c r="C23" s="8"/>
      <c r="D23" s="8" t="s">
        <v>10</v>
      </c>
      <c r="E23" s="38" t="s">
        <v>17</v>
      </c>
      <c r="F23" s="6" t="s">
        <v>8</v>
      </c>
      <c r="G23" s="11" t="s">
        <v>11</v>
      </c>
    </row>
    <row r="24" spans="1:7" ht="18" x14ac:dyDescent="0.25">
      <c r="A24" s="3">
        <f>G14+1</f>
        <v>15</v>
      </c>
      <c r="B24" s="3">
        <f t="shared" ref="B24:G24" si="2">A24+1</f>
        <v>16</v>
      </c>
      <c r="C24" s="3">
        <f t="shared" si="2"/>
        <v>17</v>
      </c>
      <c r="D24" s="3">
        <f t="shared" si="2"/>
        <v>18</v>
      </c>
      <c r="E24" s="3">
        <f t="shared" si="2"/>
        <v>19</v>
      </c>
      <c r="F24" s="3">
        <f t="shared" si="2"/>
        <v>20</v>
      </c>
      <c r="G24" s="3">
        <f t="shared" si="2"/>
        <v>21</v>
      </c>
    </row>
    <row r="25" spans="1:7" x14ac:dyDescent="0.2">
      <c r="A25" s="29"/>
      <c r="B25" s="29"/>
      <c r="C25" s="29"/>
      <c r="D25" s="29"/>
      <c r="E25" s="29"/>
      <c r="F25" s="29"/>
      <c r="G25" s="29"/>
    </row>
    <row r="26" spans="1:7" x14ac:dyDescent="0.2">
      <c r="A26" s="29"/>
      <c r="B26" s="29"/>
      <c r="C26" s="29"/>
      <c r="D26" s="29"/>
      <c r="E26" s="29"/>
      <c r="F26" s="29"/>
      <c r="G26" s="29"/>
    </row>
    <row r="27" spans="1:7" x14ac:dyDescent="0.2">
      <c r="A27" s="29"/>
      <c r="B27" s="29"/>
      <c r="C27" s="29"/>
      <c r="D27" s="29"/>
      <c r="E27" s="29"/>
      <c r="F27" s="29"/>
      <c r="G27" s="29"/>
    </row>
    <row r="28" spans="1:7" x14ac:dyDescent="0.2">
      <c r="A28" s="29"/>
      <c r="B28" s="29"/>
      <c r="C28" s="29"/>
      <c r="D28" s="29"/>
      <c r="E28" s="29"/>
      <c r="F28" s="29"/>
      <c r="G28" s="29"/>
    </row>
    <row r="29" spans="1:7" x14ac:dyDescent="0.2">
      <c r="A29" s="29"/>
      <c r="B29" s="29"/>
      <c r="C29" s="29"/>
      <c r="D29" s="29"/>
      <c r="E29" s="29"/>
      <c r="F29" s="29"/>
      <c r="G29" s="29"/>
    </row>
    <row r="30" spans="1:7" x14ac:dyDescent="0.2">
      <c r="A30" s="29"/>
      <c r="B30" s="29"/>
      <c r="C30" s="29"/>
      <c r="D30" s="29"/>
      <c r="E30" s="29"/>
      <c r="F30" s="29"/>
      <c r="G30" s="29"/>
    </row>
    <row r="31" spans="1:7" ht="12.75" customHeight="1" x14ac:dyDescent="0.2">
      <c r="A31" s="29"/>
      <c r="B31" s="29"/>
      <c r="C31" s="29"/>
      <c r="D31" s="29"/>
      <c r="E31" s="29"/>
      <c r="F31" s="29"/>
      <c r="G31" s="29"/>
    </row>
    <row r="32" spans="1:7" ht="12.75" customHeight="1" x14ac:dyDescent="0.2">
      <c r="A32" s="29"/>
      <c r="B32" s="29"/>
      <c r="C32" s="29"/>
      <c r="D32" s="29"/>
      <c r="E32" s="29"/>
      <c r="F32" s="29"/>
      <c r="G32" s="29"/>
    </row>
    <row r="33" spans="1:7" ht="13.5" customHeight="1" x14ac:dyDescent="0.2">
      <c r="A33" s="29"/>
      <c r="B33" s="29"/>
      <c r="C33" s="29"/>
      <c r="D33" s="29"/>
      <c r="E33" s="29"/>
      <c r="F33" s="29"/>
      <c r="G33" s="29"/>
    </row>
    <row r="34" spans="1:7" ht="13.5" thickBot="1" x14ac:dyDescent="0.25">
      <c r="A34" s="39"/>
      <c r="B34" s="8" t="s">
        <v>17</v>
      </c>
      <c r="C34" s="8"/>
      <c r="D34" s="8" t="s">
        <v>10</v>
      </c>
      <c r="E34" s="38" t="s">
        <v>17</v>
      </c>
      <c r="F34" s="6" t="s">
        <v>8</v>
      </c>
      <c r="G34" s="11" t="s">
        <v>11</v>
      </c>
    </row>
    <row r="35" spans="1:7" ht="18" x14ac:dyDescent="0.25">
      <c r="A35" s="3">
        <f>G24+1</f>
        <v>22</v>
      </c>
      <c r="B35" s="16">
        <f t="shared" ref="B35:G35" si="3">A35+1</f>
        <v>23</v>
      </c>
      <c r="C35" s="3">
        <f t="shared" si="3"/>
        <v>24</v>
      </c>
      <c r="D35" s="16">
        <f t="shared" si="3"/>
        <v>25</v>
      </c>
      <c r="E35" s="3">
        <f t="shared" si="3"/>
        <v>26</v>
      </c>
      <c r="F35" s="16">
        <f t="shared" si="3"/>
        <v>27</v>
      </c>
      <c r="G35" s="3">
        <f t="shared" si="3"/>
        <v>28</v>
      </c>
    </row>
    <row r="36" spans="1:7" ht="12.75" customHeight="1" x14ac:dyDescent="0.2">
      <c r="A36" s="29"/>
      <c r="B36" s="29"/>
      <c r="C36" s="29"/>
      <c r="D36" s="29"/>
      <c r="E36" s="29"/>
      <c r="F36" s="29"/>
      <c r="G36" s="29"/>
    </row>
    <row r="37" spans="1:7" ht="12.75" customHeight="1" x14ac:dyDescent="0.2">
      <c r="A37" s="29"/>
      <c r="B37" s="29"/>
      <c r="C37" s="29"/>
      <c r="D37" s="29"/>
      <c r="E37" s="29"/>
      <c r="F37" s="29"/>
      <c r="G37" s="29"/>
    </row>
    <row r="38" spans="1:7" ht="12.75" customHeight="1" x14ac:dyDescent="0.2">
      <c r="A38" s="29"/>
      <c r="B38" s="29"/>
      <c r="C38" s="29"/>
      <c r="D38" s="29"/>
      <c r="E38" s="29"/>
      <c r="F38" s="29"/>
      <c r="G38" s="29"/>
    </row>
    <row r="39" spans="1:7" ht="12.75" customHeight="1" x14ac:dyDescent="0.2">
      <c r="A39" s="29"/>
      <c r="B39" s="29"/>
      <c r="C39" s="29"/>
      <c r="D39" s="29"/>
      <c r="E39" s="29"/>
      <c r="F39" s="29"/>
      <c r="G39" s="29"/>
    </row>
    <row r="40" spans="1:7" ht="12.75" customHeight="1" x14ac:dyDescent="0.2">
      <c r="A40" s="29"/>
      <c r="B40" s="29"/>
      <c r="C40" s="29"/>
      <c r="D40" s="29"/>
      <c r="E40" s="29"/>
      <c r="F40" s="29"/>
      <c r="G40" s="29"/>
    </row>
    <row r="41" spans="1:7" ht="12.75" customHeight="1" x14ac:dyDescent="0.2">
      <c r="A41" s="29"/>
      <c r="B41" s="29"/>
      <c r="C41" s="29"/>
      <c r="D41" s="29"/>
      <c r="E41" s="29"/>
      <c r="F41" s="29"/>
      <c r="G41" s="29"/>
    </row>
    <row r="42" spans="1:7" ht="15" customHeight="1" x14ac:dyDescent="0.2">
      <c r="A42" s="29"/>
      <c r="B42" s="29"/>
      <c r="C42" s="29"/>
      <c r="D42" s="29"/>
      <c r="E42" s="29"/>
      <c r="F42" s="29"/>
      <c r="G42" s="29"/>
    </row>
    <row r="43" spans="1:7" ht="13.5" customHeight="1" x14ac:dyDescent="0.2">
      <c r="A43" s="29"/>
      <c r="B43" s="29"/>
      <c r="C43" s="29"/>
      <c r="D43" s="29"/>
      <c r="E43" s="29"/>
      <c r="F43" s="29"/>
      <c r="G43" s="29"/>
    </row>
    <row r="44" spans="1:7" ht="13.5" thickBot="1" x14ac:dyDescent="0.25">
      <c r="A44" s="39"/>
      <c r="B44" s="8" t="s">
        <v>17</v>
      </c>
      <c r="C44" s="8"/>
      <c r="D44" s="8" t="s">
        <v>10</v>
      </c>
      <c r="E44" s="38" t="s">
        <v>17</v>
      </c>
      <c r="F44" s="6" t="s">
        <v>8</v>
      </c>
      <c r="G44" s="11" t="s">
        <v>11</v>
      </c>
    </row>
    <row r="45" spans="1:7" ht="18" customHeight="1" x14ac:dyDescent="0.25">
      <c r="A45" s="4">
        <f>G35+1</f>
        <v>29</v>
      </c>
      <c r="B45" s="19">
        <f t="shared" ref="B45:G45" si="4">A45+1</f>
        <v>30</v>
      </c>
      <c r="C45" s="20">
        <f t="shared" si="4"/>
        <v>31</v>
      </c>
      <c r="D45" s="3">
        <f t="shared" si="4"/>
        <v>32</v>
      </c>
      <c r="E45" s="4">
        <f t="shared" si="4"/>
        <v>33</v>
      </c>
      <c r="F45" s="42">
        <f t="shared" si="4"/>
        <v>34</v>
      </c>
      <c r="G45" s="42">
        <f t="shared" si="4"/>
        <v>35</v>
      </c>
    </row>
    <row r="46" spans="1:7" ht="14.25" customHeight="1" x14ac:dyDescent="0.2">
      <c r="A46" s="29"/>
      <c r="B46" s="29"/>
      <c r="C46" s="29"/>
      <c r="D46" s="29"/>
      <c r="E46" s="29"/>
      <c r="F46" s="29"/>
      <c r="G46" s="29"/>
    </row>
    <row r="47" spans="1:7" ht="13.5" customHeight="1" x14ac:dyDescent="0.2">
      <c r="A47" s="29"/>
      <c r="B47" s="29"/>
      <c r="C47" s="29"/>
      <c r="D47" s="29"/>
      <c r="E47" s="29"/>
      <c r="F47" s="29"/>
      <c r="G47" s="29"/>
    </row>
    <row r="48" spans="1:7" ht="15" customHeight="1" x14ac:dyDescent="0.2">
      <c r="A48" s="29"/>
      <c r="B48" s="29"/>
      <c r="C48" s="29"/>
      <c r="D48" s="29"/>
      <c r="E48" s="29"/>
      <c r="F48" s="29"/>
      <c r="G48" s="29"/>
    </row>
    <row r="49" spans="1:7" ht="15" customHeight="1" x14ac:dyDescent="0.2">
      <c r="A49" s="29"/>
      <c r="B49" s="29"/>
      <c r="C49" s="29"/>
      <c r="D49" s="29"/>
      <c r="E49" s="29"/>
      <c r="F49" s="29"/>
      <c r="G49" s="29"/>
    </row>
    <row r="50" spans="1:7" ht="12.75" customHeight="1" x14ac:dyDescent="0.2">
      <c r="A50" s="29"/>
      <c r="B50" s="29"/>
      <c r="C50" s="29"/>
      <c r="D50" s="29"/>
      <c r="E50" s="29"/>
      <c r="F50" s="29"/>
      <c r="G50" s="29"/>
    </row>
    <row r="51" spans="1:7" ht="12.75" customHeight="1" x14ac:dyDescent="0.2">
      <c r="A51" s="29"/>
      <c r="B51" s="29"/>
      <c r="C51" s="29"/>
      <c r="D51" s="29"/>
      <c r="E51" s="29"/>
      <c r="F51" s="29"/>
      <c r="G51" s="29"/>
    </row>
    <row r="52" spans="1:7" ht="15" customHeight="1" x14ac:dyDescent="0.2">
      <c r="A52" s="29"/>
      <c r="B52" s="29"/>
      <c r="C52" s="29"/>
      <c r="D52" s="29"/>
      <c r="E52" s="29"/>
      <c r="F52" s="29"/>
      <c r="G52" s="29"/>
    </row>
    <row r="53" spans="1:7" ht="13.5" customHeight="1" x14ac:dyDescent="0.2">
      <c r="A53" s="29"/>
      <c r="B53" s="29"/>
      <c r="C53" s="29"/>
      <c r="D53" s="29"/>
      <c r="E53" s="29"/>
      <c r="F53" s="29"/>
      <c r="G53" s="29"/>
    </row>
    <row r="54" spans="1:7" ht="13.5" customHeight="1" thickBot="1" x14ac:dyDescent="0.25">
      <c r="A54" s="39"/>
      <c r="B54" s="8" t="s">
        <v>17</v>
      </c>
      <c r="C54" s="8"/>
      <c r="D54" s="8" t="s">
        <v>10</v>
      </c>
      <c r="E54" s="38" t="s">
        <v>17</v>
      </c>
      <c r="F54" s="6" t="s">
        <v>8</v>
      </c>
      <c r="G54" s="43" t="str">
        <f ca="1">CONCATENATE("Revised: 12/02/2016  Printed: ", TEXT(TODAY(),"m/dd/yyyy"))</f>
        <v>Revised: 12/02/2016  Printed: 7/24/2015</v>
      </c>
    </row>
    <row r="55" spans="1:7" x14ac:dyDescent="0.2">
      <c r="A55" s="40"/>
      <c r="B55" s="40"/>
      <c r="C55" s="40"/>
      <c r="D55" s="40"/>
      <c r="E55" s="40"/>
      <c r="F55" s="40"/>
      <c r="G55" s="40"/>
    </row>
    <row r="56" spans="1:7" x14ac:dyDescent="0.2"/>
  </sheetData>
  <mergeCells count="3">
    <mergeCell ref="A1:B2"/>
    <mergeCell ref="C1:E2"/>
    <mergeCell ref="F1:G2"/>
  </mergeCells>
  <pageMargins left="0" right="0" top="0.5" bottom="0" header="0.3" footer="0.05"/>
  <pageSetup paperSize="3"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Data</vt:lpstr>
      <vt:lpstr>Month</vt:lpstr>
      <vt:lpstr>NewCalendar</vt:lpstr>
      <vt:lpstr>Month!Print_Area</vt:lpstr>
      <vt:lpstr>NewCalendar!Print_Area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CalendarCord</dc:creator>
  <cp:lastModifiedBy>CalendarCoordinator</cp:lastModifiedBy>
  <cp:lastPrinted>2015-01-10T02:05:10Z</cp:lastPrinted>
  <dcterms:created xsi:type="dcterms:W3CDTF">2015-01-02T20:13:18Z</dcterms:created>
  <dcterms:modified xsi:type="dcterms:W3CDTF">2015-07-25T02:59:27Z</dcterms:modified>
</cp:coreProperties>
</file>